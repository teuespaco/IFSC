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." sheetId="1" r:id="rId4"/>
    <sheet state="visible" name="2." sheetId="2" r:id="rId5"/>
    <sheet state="visible" name="3." sheetId="3" r:id="rId6"/>
    <sheet state="visible" name="4." sheetId="4" r:id="rId7"/>
    <sheet state="visible" name="5." sheetId="5" r:id="rId8"/>
  </sheets>
  <definedNames/>
  <calcPr/>
  <extLst>
    <ext uri="GoogleSheetsCustomDataVersion2">
      <go:sheetsCustomData xmlns:go="http://customooxmlschemas.google.com/" r:id="rId9" roundtripDataChecksum="URwxYxqzqTIMDDmXJF40ShpSjlEP2co59RqccNrkP60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K5">
      <text>
        <t xml:space="preserve">- 01/01/20 – Saldo Inicial – 20 computadores – R$ 1.700,00 cada;
======</t>
      </text>
    </comment>
    <comment authorId="0" ref="K6">
      <text>
        <t xml:space="preserve">- 02/01/20 – Entrada – 30 computadores – R$ 1.750,00 cada
- Temos em estoque 30 de  R$ 1.750,00 e 20 de  R$ 1.700,00
======</t>
      </text>
    </comment>
    <comment authorId="0" ref="H8">
      <text>
        <t xml:space="preserve">02/02/20 – Saída – 30 computadores: 20 de R$ 1.700,00 e 10 de R$ 1.750,00
======</t>
      </text>
    </comment>
    <comment authorId="0" ref="C10">
      <text>
        <t xml:space="preserve">- Entrada – 10 computadores – R$ 1.760,00 cada
======</t>
      </text>
    </comment>
    <comment authorId="0" ref="K10">
      <text>
        <t xml:space="preserve">Ao final do dia restou 20 computadores de  R$ 1.750,00 e 10 de R$ 1.760,00 cada
======</t>
      </text>
    </comment>
    <comment authorId="0" ref="H11">
      <text>
        <t xml:space="preserve">- 02/03/20 – Saída – 10 computadores de R$ 1.750,00
======</t>
      </text>
    </comment>
    <comment authorId="0" ref="K12">
      <text>
        <t xml:space="preserve">Ao final do dia restou 10 computadores de  R$ 1.750,00 e 10 de R$ 1.760,00 cada
======</t>
      </text>
    </comment>
    <comment authorId="0" ref="C13">
      <text>
        <t xml:space="preserve">- Entrada – 50 computadores – R$ 1.800,00 cada;
======</t>
      </text>
    </comment>
    <comment authorId="0" ref="K15">
      <text>
        <t xml:space="preserve">Ao final do dia restou 10 computadores de  R$ 1.750,00 , 10 de R$ 1.760,00 cada e 50 de R$ 1.800,00
======</t>
      </text>
    </comment>
    <comment authorId="0" ref="H16">
      <text>
        <t xml:space="preserve">- 06/04/20 – Saída – 40 computadores.
Sendo 10 de R$ 1.750,00,  10 de R$ 1.760,00 e 20 de R$ 1.800,00
======</t>
      </text>
    </comment>
    <comment authorId="0" ref="K16">
      <text>
        <t xml:space="preserve">Ao final do dia restou 30 computadores de R$ 1.800,00
======</t>
      </text>
    </comment>
    <comment authorId="0" ref="K19">
      <text>
        <t xml:space="preserve">No final temos um estoque de 30 computadores com um valor total de R$ 54.000
======</t>
      </text>
    </comment>
  </commentList>
</comments>
</file>

<file path=xl/sharedStrings.xml><?xml version="1.0" encoding="utf-8"?>
<sst xmlns="http://schemas.openxmlformats.org/spreadsheetml/2006/main" count="167" uniqueCount="61">
  <si>
    <t>Preço de venda unidade</t>
  </si>
  <si>
    <t>Custos variáveis unitários estimados</t>
  </si>
  <si>
    <t>Custos fixos estimados para o mês</t>
  </si>
  <si>
    <t>Número esperado de unidades vendidas</t>
  </si>
  <si>
    <t xml:space="preserve">Margem de contribuição unitária </t>
  </si>
  <si>
    <t>Margem de Contribuição</t>
  </si>
  <si>
    <t>Receita total</t>
  </si>
  <si>
    <t>Margem de contribuição</t>
  </si>
  <si>
    <t>Lucro</t>
  </si>
  <si>
    <t>Legenda:</t>
  </si>
  <si>
    <t>Impostos</t>
  </si>
  <si>
    <t>Comissão de Vendedores</t>
  </si>
  <si>
    <t>Taxa de Administração</t>
  </si>
  <si>
    <t>Frete de Entrega</t>
  </si>
  <si>
    <t>Juros sobre venda a prazo</t>
  </si>
  <si>
    <t>Custo Fixo</t>
  </si>
  <si>
    <t xml:space="preserve"> Preço de venda</t>
  </si>
  <si>
    <t>Mercadoria X</t>
  </si>
  <si>
    <t>Mercadoria Y</t>
  </si>
  <si>
    <t>Mark Up</t>
  </si>
  <si>
    <t>Quantidade</t>
  </si>
  <si>
    <t>Receita</t>
  </si>
  <si>
    <t>Custo Variável</t>
  </si>
  <si>
    <t>Custo Total</t>
  </si>
  <si>
    <t>Notebook</t>
  </si>
  <si>
    <t>Celular</t>
  </si>
  <si>
    <t>Tablet</t>
  </si>
  <si>
    <t>Itens</t>
  </si>
  <si>
    <t>Qdd.</t>
  </si>
  <si>
    <t>V.unitário</t>
  </si>
  <si>
    <t>Total</t>
  </si>
  <si>
    <t>Valor unitário</t>
  </si>
  <si>
    <t>RECEITA</t>
  </si>
  <si>
    <t>Custos Variáveis</t>
  </si>
  <si>
    <t>Comissão (5%)</t>
  </si>
  <si>
    <t>Custos de Aquisição</t>
  </si>
  <si>
    <t>MARGEM DE CONTRIBUIÇÃO</t>
  </si>
  <si>
    <t>CF (%) - Rateio → custos de aquisição</t>
  </si>
  <si>
    <t>(-) CF → R$</t>
  </si>
  <si>
    <t>(=) SALDO</t>
  </si>
  <si>
    <t>Ponto de Equilíbrio</t>
  </si>
  <si>
    <t>Lucratividade</t>
  </si>
  <si>
    <t>RATEIO</t>
  </si>
  <si>
    <t>Aluguel</t>
  </si>
  <si>
    <t>Seguro</t>
  </si>
  <si>
    <t>Salário supervisão</t>
  </si>
  <si>
    <t>Depreciação</t>
  </si>
  <si>
    <t>Total custo fixo</t>
  </si>
  <si>
    <t>Método PEPS</t>
  </si>
  <si>
    <t>Entradas – Computadores</t>
  </si>
  <si>
    <t>Saídas – Computadores</t>
  </si>
  <si>
    <t>Saldos – Computadores</t>
  </si>
  <si>
    <t>Data</t>
  </si>
  <si>
    <t>Histórico</t>
  </si>
  <si>
    <t>Qtdd.</t>
  </si>
  <si>
    <t>V. Unit</t>
  </si>
  <si>
    <t>Saldo</t>
  </si>
  <si>
    <t>-</t>
  </si>
  <si>
    <t>Entrada</t>
  </si>
  <si>
    <t>Saida</t>
  </si>
  <si>
    <t>Método Média Ponderada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</si>
</sst>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_-&quot;R$&quot;\ * #,##0.00_-;\-&quot;R$&quot;\ * #,##0.00_-;_-&quot;R$&quot;\ * &quot;-&quot;??_-;_-@"/>
    <numFmt numFmtId="165" formatCode="_([$R$ -416]* #,##0.00_);_([$R$ -416]* \(#,##0.00\);_([$R$ -416]* &quot;-&quot;??_);_(@_)"/>
    <numFmt numFmtId="166" formatCode="[$R$ -416]#,##0.00"/>
    <numFmt numFmtId="167" formatCode="[$R$-416]\ #,##0.00;[RED]\-[$R$-416]\ #,##0.00"/>
    <numFmt numFmtId="168" formatCode="dd/MM/yyyy"/>
  </numFmts>
  <fonts count="10">
    <font>
      <sz val="11.0"/>
      <color theme="1"/>
      <name val="Calibri"/>
      <scheme val="minor"/>
    </font>
    <font>
      <color theme="1"/>
      <name val="Calibri"/>
      <scheme val="minor"/>
    </font>
    <font/>
    <font>
      <b/>
      <sz val="11.0"/>
      <color theme="1"/>
      <name val="Calibri"/>
    </font>
    <font>
      <sz val="11.0"/>
      <color theme="1"/>
      <name val="Calibri"/>
    </font>
    <font>
      <b/>
      <color theme="1"/>
      <name val="Arial"/>
    </font>
    <font>
      <color theme="1"/>
      <name val="Arial"/>
    </font>
    <font>
      <b/>
      <sz val="10.0"/>
      <color theme="1"/>
      <name val="Calibri"/>
    </font>
    <font>
      <b/>
      <sz val="11.0"/>
      <color theme="1"/>
      <name val="Arial"/>
    </font>
    <font>
      <sz val="11.0"/>
      <color theme="1"/>
      <name val="Arial"/>
    </font>
  </fonts>
  <fills count="9">
    <fill>
      <patternFill patternType="none"/>
    </fill>
    <fill>
      <patternFill patternType="lightGray"/>
    </fill>
    <fill>
      <patternFill patternType="solid">
        <fgColor rgb="FFB3B3B3"/>
        <bgColor rgb="FFB3B3B3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rgb="FF00FF00"/>
      </patternFill>
    </fill>
    <fill>
      <patternFill patternType="solid">
        <fgColor rgb="FF4A86E8"/>
        <bgColor rgb="FF4A86E8"/>
      </patternFill>
    </fill>
    <fill>
      <patternFill patternType="solid">
        <fgColor rgb="FFD0D0D0"/>
        <bgColor rgb="FFD0D0D0"/>
      </patternFill>
    </fill>
    <fill>
      <patternFill patternType="solid">
        <fgColor rgb="FFFFFFFF"/>
        <bgColor rgb="FFFFFFFF"/>
      </patternFill>
    </fill>
    <fill>
      <patternFill patternType="solid">
        <fgColor rgb="FFCCCCCC"/>
        <bgColor rgb="FFCCCCCC"/>
      </patternFill>
    </fill>
  </fills>
  <borders count="17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</border>
    <border>
      <top style="hair">
        <color rgb="FF000000"/>
      </top>
      <bottom style="thin">
        <color rgb="FF000000"/>
      </bottom>
    </border>
    <border>
      <right style="hair">
        <color rgb="FF000000"/>
      </right>
      <top style="hair">
        <color rgb="FF000000"/>
      </top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hair">
        <color rgb="FF000000"/>
      </right>
    </border>
  </borders>
  <cellStyleXfs count="1">
    <xf borderId="0" fillId="0" fontId="0" numFmtId="0" applyAlignment="1" applyFont="1"/>
  </cellStyleXfs>
  <cellXfs count="122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/>
    </xf>
    <xf borderId="2" fillId="0" fontId="2" numFmtId="0" xfId="0" applyBorder="1" applyFont="1"/>
    <xf borderId="3" fillId="0" fontId="2" numFmtId="0" xfId="0" applyBorder="1" applyFont="1"/>
    <xf borderId="4" fillId="2" fontId="3" numFmtId="164" xfId="0" applyAlignment="1" applyBorder="1" applyFill="1" applyFont="1" applyNumberFormat="1">
      <alignment horizontal="center" readingOrder="0" shrinkToFit="0" vertical="center" wrapText="1"/>
    </xf>
    <xf borderId="4" fillId="2" fontId="3" numFmtId="0" xfId="0" applyAlignment="1" applyBorder="1" applyFont="1">
      <alignment horizontal="center" readingOrder="0" shrinkToFit="0" vertical="center" wrapText="1"/>
    </xf>
    <xf borderId="4" fillId="0" fontId="4" numFmtId="164" xfId="0" applyAlignment="1" applyBorder="1" applyFont="1" applyNumberFormat="1">
      <alignment readingOrder="0"/>
    </xf>
    <xf borderId="4" fillId="0" fontId="1" numFmtId="164" xfId="0" applyAlignment="1" applyBorder="1" applyFont="1" applyNumberFormat="1">
      <alignment readingOrder="0"/>
    </xf>
    <xf borderId="4" fillId="3" fontId="4" numFmtId="164" xfId="0" applyBorder="1" applyFill="1" applyFont="1" applyNumberFormat="1"/>
    <xf borderId="4" fillId="0" fontId="4" numFmtId="164" xfId="0" applyBorder="1" applyFont="1" applyNumberFormat="1"/>
    <xf borderId="4" fillId="4" fontId="4" numFmtId="9" xfId="0" applyAlignment="1" applyBorder="1" applyFill="1" applyFont="1" applyNumberFormat="1">
      <alignment horizontal="center"/>
    </xf>
    <xf borderId="4" fillId="0" fontId="4" numFmtId="165" xfId="0" applyAlignment="1" applyBorder="1" applyFont="1" applyNumberFormat="1">
      <alignment horizontal="center"/>
    </xf>
    <xf borderId="0" fillId="0" fontId="4" numFmtId="164" xfId="0" applyFont="1" applyNumberFormat="1"/>
    <xf borderId="0" fillId="0" fontId="4" numFmtId="10" xfId="0" applyFont="1" applyNumberFormat="1"/>
    <xf borderId="0" fillId="0" fontId="1" numFmtId="0" xfId="0" applyFont="1"/>
    <xf borderId="0" fillId="0" fontId="1" numFmtId="0" xfId="0" applyAlignment="1" applyFont="1">
      <alignment horizontal="right" readingOrder="0"/>
    </xf>
    <xf borderId="4" fillId="4" fontId="1" numFmtId="0" xfId="0" applyAlignment="1" applyBorder="1" applyFont="1">
      <alignment readingOrder="0"/>
    </xf>
    <xf borderId="0" fillId="0" fontId="1" numFmtId="0" xfId="0" applyAlignment="1" applyFont="1">
      <alignment readingOrder="0"/>
    </xf>
    <xf borderId="4" fillId="3" fontId="1" numFmtId="0" xfId="0" applyBorder="1" applyFont="1"/>
    <xf borderId="5" fillId="0" fontId="3" numFmtId="164" xfId="0" applyAlignment="1" applyBorder="1" applyFont="1" applyNumberFormat="1">
      <alignment horizontal="center" readingOrder="0" shrinkToFit="0" vertical="center" wrapText="1"/>
    </xf>
    <xf borderId="6" fillId="0" fontId="2" numFmtId="0" xfId="0" applyBorder="1" applyFont="1"/>
    <xf borderId="7" fillId="2" fontId="3" numFmtId="0" xfId="0" applyAlignment="1" applyBorder="1" applyFont="1">
      <alignment horizontal="center" readingOrder="0" shrinkToFit="0" vertical="center" wrapText="1"/>
    </xf>
    <xf borderId="8" fillId="0" fontId="2" numFmtId="0" xfId="0" applyBorder="1" applyFont="1"/>
    <xf borderId="9" fillId="0" fontId="2" numFmtId="0" xfId="0" applyBorder="1" applyFont="1"/>
    <xf borderId="4" fillId="0" fontId="4" numFmtId="10" xfId="0" applyAlignment="1" applyBorder="1" applyFont="1" applyNumberFormat="1">
      <alignment horizontal="center" readingOrder="0"/>
    </xf>
    <xf borderId="10" fillId="0" fontId="2" numFmtId="0" xfId="0" applyBorder="1" applyFont="1"/>
    <xf borderId="7" fillId="0" fontId="4" numFmtId="164" xfId="0" applyAlignment="1" applyBorder="1" applyFont="1" applyNumberFormat="1">
      <alignment readingOrder="0"/>
    </xf>
    <xf borderId="0" fillId="0" fontId="4" numFmtId="164" xfId="0" applyAlignment="1" applyFont="1" applyNumberFormat="1">
      <alignment readingOrder="0"/>
    </xf>
    <xf borderId="4" fillId="0" fontId="5" numFmtId="164" xfId="0" applyAlignment="1" applyBorder="1" applyFont="1" applyNumberFormat="1">
      <alignment vertical="bottom"/>
    </xf>
    <xf borderId="3" fillId="0" fontId="6" numFmtId="164" xfId="0" applyAlignment="1" applyBorder="1" applyFont="1" applyNumberFormat="1">
      <alignment horizontal="right" vertical="bottom"/>
    </xf>
    <xf borderId="3" fillId="0" fontId="6" numFmtId="166" xfId="0" applyAlignment="1" applyBorder="1" applyFont="1" applyNumberFormat="1">
      <alignment horizontal="right" vertical="bottom"/>
    </xf>
    <xf borderId="0" fillId="0" fontId="6" numFmtId="164" xfId="0" applyAlignment="1" applyFont="1" applyNumberFormat="1">
      <alignment vertical="bottom"/>
    </xf>
    <xf borderId="11" fillId="0" fontId="6" numFmtId="164" xfId="0" applyAlignment="1" applyBorder="1" applyFont="1" applyNumberFormat="1">
      <alignment vertical="bottom"/>
    </xf>
    <xf borderId="9" fillId="0" fontId="6" numFmtId="166" xfId="0" applyAlignment="1" applyBorder="1" applyFont="1" applyNumberFormat="1">
      <alignment horizontal="right" vertical="bottom"/>
    </xf>
    <xf borderId="4" fillId="2" fontId="3" numFmtId="4" xfId="0" applyAlignment="1" applyBorder="1" applyFont="1" applyNumberFormat="1">
      <alignment horizontal="center" readingOrder="0" shrinkToFit="0" vertical="center" wrapText="1"/>
    </xf>
    <xf borderId="4" fillId="0" fontId="1" numFmtId="4" xfId="0" applyAlignment="1" applyBorder="1" applyFont="1" applyNumberFormat="1">
      <alignment readingOrder="0"/>
    </xf>
    <xf borderId="4" fillId="5" fontId="1" numFmtId="4" xfId="0" applyAlignment="1" applyBorder="1" applyFill="1" applyFont="1" applyNumberFormat="1">
      <alignment readingOrder="0"/>
    </xf>
    <xf borderId="4" fillId="5" fontId="4" numFmtId="164" xfId="0" applyBorder="1" applyFont="1" applyNumberFormat="1"/>
    <xf borderId="4" fillId="5" fontId="4" numFmtId="164" xfId="0" applyAlignment="1" applyBorder="1" applyFont="1" applyNumberFormat="1">
      <alignment readingOrder="0"/>
    </xf>
    <xf borderId="0" fillId="0" fontId="1" numFmtId="4" xfId="0" applyFont="1" applyNumberFormat="1"/>
    <xf borderId="1" fillId="0" fontId="1" numFmtId="0" xfId="0" applyAlignment="1" applyBorder="1" applyFont="1">
      <alignment horizontal="left"/>
    </xf>
    <xf borderId="0" fillId="0" fontId="6" numFmtId="0" xfId="0" applyAlignment="1" applyFont="1">
      <alignment vertical="bottom"/>
    </xf>
    <xf borderId="4" fillId="0" fontId="5" numFmtId="0" xfId="0" applyAlignment="1" applyBorder="1" applyFont="1">
      <alignment horizontal="left" vertical="bottom"/>
    </xf>
    <xf borderId="12" fillId="0" fontId="5" numFmtId="0" xfId="0" applyAlignment="1" applyBorder="1" applyFont="1">
      <alignment horizontal="center"/>
    </xf>
    <xf borderId="12" fillId="0" fontId="2" numFmtId="0" xfId="0" applyBorder="1" applyFont="1"/>
    <xf borderId="13" fillId="0" fontId="2" numFmtId="0" xfId="0" applyBorder="1" applyFont="1"/>
    <xf borderId="10" fillId="0" fontId="5" numFmtId="0" xfId="0" applyAlignment="1" applyBorder="1" applyFont="1">
      <alignment horizontal="left" vertical="bottom"/>
    </xf>
    <xf borderId="9" fillId="0" fontId="5" numFmtId="0" xfId="0" applyAlignment="1" applyBorder="1" applyFont="1">
      <alignment horizontal="center" vertical="bottom"/>
    </xf>
    <xf borderId="4" fillId="0" fontId="3" numFmtId="4" xfId="0" applyAlignment="1" applyBorder="1" applyFont="1" applyNumberFormat="1">
      <alignment horizontal="center" readingOrder="0" shrinkToFit="0" vertical="center" wrapText="1"/>
    </xf>
    <xf borderId="0" fillId="0" fontId="6" numFmtId="0" xfId="0" applyAlignment="1" applyFont="1">
      <alignment vertical="bottom"/>
    </xf>
    <xf borderId="8" fillId="0" fontId="6" numFmtId="0" xfId="0" applyAlignment="1" applyBorder="1" applyFont="1">
      <alignment horizontal="left" vertical="bottom"/>
    </xf>
    <xf borderId="14" fillId="0" fontId="2" numFmtId="0" xfId="0" applyBorder="1" applyFont="1"/>
    <xf borderId="10" fillId="2" fontId="5" numFmtId="0" xfId="0" applyAlignment="1" applyBorder="1" applyFont="1">
      <alignment horizontal="left" readingOrder="0" vertical="bottom"/>
    </xf>
    <xf borderId="9" fillId="0" fontId="6" numFmtId="0" xfId="0" applyAlignment="1" applyBorder="1" applyFont="1">
      <alignment horizontal="right" vertical="bottom"/>
    </xf>
    <xf borderId="9" fillId="0" fontId="6" numFmtId="167" xfId="0" applyAlignment="1" applyBorder="1" applyFont="1" applyNumberFormat="1">
      <alignment horizontal="right" vertical="bottom"/>
    </xf>
    <xf borderId="11" fillId="0" fontId="2" numFmtId="0" xfId="0" applyBorder="1" applyFont="1"/>
    <xf borderId="10" fillId="2" fontId="5" numFmtId="0" xfId="0" applyAlignment="1" applyBorder="1" applyFont="1">
      <alignment horizontal="left" vertical="bottom"/>
    </xf>
    <xf borderId="10" fillId="0" fontId="5" numFmtId="0" xfId="0" applyAlignment="1" applyBorder="1" applyFont="1">
      <alignment horizontal="left" readingOrder="0" vertical="bottom"/>
    </xf>
    <xf borderId="9" fillId="0" fontId="6" numFmtId="0" xfId="0" applyAlignment="1" applyBorder="1" applyFont="1">
      <alignment vertical="bottom"/>
    </xf>
    <xf borderId="9" fillId="0" fontId="6" numFmtId="10" xfId="0" applyAlignment="1" applyBorder="1" applyFont="1" applyNumberFormat="1">
      <alignment horizontal="right" vertical="bottom"/>
    </xf>
    <xf borderId="8" fillId="0" fontId="5" numFmtId="0" xfId="0" applyAlignment="1" applyBorder="1" applyFont="1">
      <alignment horizontal="left" vertical="bottom"/>
    </xf>
    <xf borderId="4" fillId="2" fontId="3" numFmtId="0" xfId="0" applyAlignment="1" applyBorder="1" applyFont="1">
      <alignment horizontal="left" readingOrder="0" shrinkToFit="0" vertical="center" wrapText="1"/>
    </xf>
    <xf borderId="14" fillId="0" fontId="6" numFmtId="0" xfId="0" applyAlignment="1" applyBorder="1" applyFont="1">
      <alignment vertical="bottom"/>
    </xf>
    <xf borderId="14" fillId="0" fontId="5" numFmtId="0" xfId="0" applyAlignment="1" applyBorder="1" applyFont="1">
      <alignment vertical="bottom"/>
    </xf>
    <xf borderId="9" fillId="0" fontId="5" numFmtId="0" xfId="0" applyAlignment="1" applyBorder="1" applyFont="1">
      <alignment vertical="bottom"/>
    </xf>
    <xf borderId="4" fillId="0" fontId="7" numFmtId="4" xfId="0" applyAlignment="1" applyBorder="1" applyFont="1" applyNumberFormat="1">
      <alignment horizontal="left" readingOrder="0" shrinkToFit="0" vertical="center" wrapText="1"/>
    </xf>
    <xf borderId="0" fillId="0" fontId="6" numFmtId="0" xfId="0" applyAlignment="1" applyFont="1">
      <alignment horizontal="left" vertical="bottom"/>
    </xf>
    <xf borderId="5" fillId="0" fontId="5" numFmtId="0" xfId="0" applyAlignment="1" applyBorder="1" applyFont="1">
      <alignment shrinkToFit="0" vertical="bottom" wrapText="0"/>
    </xf>
    <xf borderId="4" fillId="0" fontId="6" numFmtId="1" xfId="0" applyAlignment="1" applyBorder="1" applyFont="1" applyNumberFormat="1">
      <alignment horizontal="right" vertical="bottom"/>
    </xf>
    <xf borderId="5" fillId="0" fontId="6" numFmtId="0" xfId="0" applyAlignment="1" applyBorder="1" applyFont="1">
      <alignment vertical="bottom"/>
    </xf>
    <xf borderId="4" fillId="0" fontId="6" numFmtId="0" xfId="0" applyAlignment="1" applyBorder="1" applyFont="1">
      <alignment horizontal="left" vertical="bottom"/>
    </xf>
    <xf borderId="4" fillId="0" fontId="6" numFmtId="167" xfId="0" applyAlignment="1" applyBorder="1" applyFont="1" applyNumberFormat="1">
      <alignment horizontal="right" vertical="bottom"/>
    </xf>
    <xf borderId="4" fillId="6" fontId="5" numFmtId="0" xfId="0" applyAlignment="1" applyBorder="1" applyFill="1" applyFont="1">
      <alignment horizontal="left" vertical="bottom"/>
    </xf>
    <xf borderId="4" fillId="6" fontId="6" numFmtId="0" xfId="0" applyAlignment="1" applyBorder="1" applyFont="1">
      <alignment vertical="bottom"/>
    </xf>
    <xf borderId="4" fillId="6" fontId="6" numFmtId="10" xfId="0" applyAlignment="1" applyBorder="1" applyFont="1" applyNumberFormat="1">
      <alignment horizontal="right" vertical="bottom"/>
    </xf>
    <xf borderId="4" fillId="6" fontId="6" numFmtId="0" xfId="0" applyAlignment="1" applyBorder="1" applyFont="1">
      <alignment horizontal="right" vertical="bottom"/>
    </xf>
    <xf borderId="4" fillId="6" fontId="6" numFmtId="10" xfId="0" applyAlignment="1" applyBorder="1" applyFont="1" applyNumberFormat="1">
      <alignment vertical="bottom"/>
    </xf>
    <xf borderId="4" fillId="2" fontId="5" numFmtId="0" xfId="0" applyAlignment="1" applyBorder="1" applyFont="1">
      <alignment horizontal="left" vertical="bottom"/>
    </xf>
    <xf borderId="4" fillId="2" fontId="5" numFmtId="0" xfId="0" applyAlignment="1" applyBorder="1" applyFont="1">
      <alignment vertical="bottom"/>
    </xf>
    <xf borderId="4" fillId="0" fontId="6" numFmtId="0" xfId="0" applyAlignment="1" applyBorder="1" applyFont="1">
      <alignment vertical="bottom"/>
    </xf>
    <xf borderId="4" fillId="0" fontId="6" numFmtId="0" xfId="0" applyAlignment="1" applyBorder="1" applyFont="1">
      <alignment horizontal="right" vertical="bottom"/>
    </xf>
    <xf borderId="4" fillId="0" fontId="6" numFmtId="10" xfId="0" applyAlignment="1" applyBorder="1" applyFont="1" applyNumberFormat="1">
      <alignment horizontal="right" vertical="bottom"/>
    </xf>
    <xf borderId="0" fillId="0" fontId="5" numFmtId="0" xfId="0" applyAlignment="1" applyFont="1">
      <alignment vertical="bottom"/>
    </xf>
    <xf borderId="0" fillId="0" fontId="6" numFmtId="0" xfId="0" applyAlignment="1" applyFont="1">
      <alignment horizontal="right" vertical="bottom"/>
    </xf>
    <xf borderId="0" fillId="0" fontId="6" numFmtId="10" xfId="0" applyAlignment="1" applyFont="1" applyNumberFormat="1">
      <alignment horizontal="right" vertical="bottom"/>
    </xf>
    <xf borderId="0" fillId="0" fontId="6" numFmtId="10" xfId="0" applyAlignment="1" applyFont="1" applyNumberFormat="1">
      <alignment vertical="bottom"/>
    </xf>
    <xf borderId="4" fillId="0" fontId="6" numFmtId="0" xfId="0" applyAlignment="1" applyBorder="1" applyFont="1">
      <alignment horizontal="left" readingOrder="0" vertical="bottom"/>
    </xf>
    <xf borderId="0" fillId="0" fontId="6" numFmtId="167" xfId="0" applyAlignment="1" applyFont="1" applyNumberFormat="1">
      <alignment vertical="bottom"/>
    </xf>
    <xf borderId="0" fillId="7" fontId="5" numFmtId="0" xfId="0" applyAlignment="1" applyFill="1" applyFont="1">
      <alignment horizontal="center" readingOrder="0" vertical="bottom"/>
    </xf>
    <xf borderId="4" fillId="7" fontId="6" numFmtId="168" xfId="0" applyAlignment="1" applyBorder="1" applyFont="1" applyNumberFormat="1">
      <alignment horizontal="center" vertical="bottom"/>
    </xf>
    <xf borderId="4" fillId="2" fontId="6" numFmtId="0" xfId="0" applyAlignment="1" applyBorder="1" applyFont="1">
      <alignment horizontal="center" vertical="bottom"/>
    </xf>
    <xf borderId="1" fillId="2" fontId="8" numFmtId="0" xfId="0" applyAlignment="1" applyBorder="1" applyFont="1">
      <alignment horizontal="center"/>
    </xf>
    <xf borderId="4" fillId="2" fontId="8" numFmtId="168" xfId="0" applyAlignment="1" applyBorder="1" applyFont="1" applyNumberFormat="1">
      <alignment horizontal="center" vertical="bottom"/>
    </xf>
    <xf borderId="4" fillId="2" fontId="8" numFmtId="0" xfId="0" applyAlignment="1" applyBorder="1" applyFont="1">
      <alignment horizontal="center" vertical="bottom"/>
    </xf>
    <xf borderId="4" fillId="0" fontId="6" numFmtId="168" xfId="0" applyAlignment="1" applyBorder="1" applyFont="1" applyNumberFormat="1">
      <alignment horizontal="center" readingOrder="0" vertical="bottom"/>
    </xf>
    <xf borderId="4" fillId="0" fontId="6" numFmtId="0" xfId="0" applyAlignment="1" applyBorder="1" applyFont="1">
      <alignment horizontal="center" vertical="bottom"/>
    </xf>
    <xf borderId="4" fillId="0" fontId="6" numFmtId="0" xfId="0" applyAlignment="1" applyBorder="1" applyFont="1">
      <alignment horizontal="center" readingOrder="0" vertical="bottom"/>
    </xf>
    <xf borderId="4" fillId="0" fontId="6" numFmtId="167" xfId="0" applyAlignment="1" applyBorder="1" applyFont="1" applyNumberFormat="1">
      <alignment horizontal="center" readingOrder="0" vertical="bottom"/>
    </xf>
    <xf borderId="4" fillId="0" fontId="6" numFmtId="167" xfId="0" applyAlignment="1" applyBorder="1" applyFont="1" applyNumberFormat="1">
      <alignment horizontal="center" vertical="bottom"/>
    </xf>
    <xf borderId="7" fillId="0" fontId="6" numFmtId="168" xfId="0" applyAlignment="1" applyBorder="1" applyFont="1" applyNumberFormat="1">
      <alignment horizontal="center" readingOrder="0" vertical="center"/>
    </xf>
    <xf borderId="7" fillId="0" fontId="6" numFmtId="0" xfId="0" applyAlignment="1" applyBorder="1" applyFont="1">
      <alignment horizontal="center" readingOrder="0" vertical="center"/>
    </xf>
    <xf borderId="2" fillId="0" fontId="6" numFmtId="0" xfId="0" applyAlignment="1" applyBorder="1" applyFont="1">
      <alignment horizontal="center" readingOrder="0" vertical="bottom"/>
    </xf>
    <xf borderId="7" fillId="0" fontId="6" numFmtId="167" xfId="0" applyAlignment="1" applyBorder="1" applyFont="1" applyNumberFormat="1">
      <alignment horizontal="center" readingOrder="0" vertical="center"/>
    </xf>
    <xf borderId="7" fillId="0" fontId="6" numFmtId="167" xfId="0" applyAlignment="1" applyBorder="1" applyFont="1" applyNumberFormat="1">
      <alignment horizontal="center" vertical="center"/>
    </xf>
    <xf borderId="15" fillId="0" fontId="2" numFmtId="0" xfId="0" applyBorder="1" applyFont="1"/>
    <xf borderId="7" fillId="0" fontId="9" numFmtId="168" xfId="0" applyAlignment="1" applyBorder="1" applyFont="1" applyNumberFormat="1">
      <alignment horizontal="center" vertical="center"/>
    </xf>
    <xf borderId="6" fillId="0" fontId="9" numFmtId="0" xfId="0" applyAlignment="1" applyBorder="1" applyFont="1">
      <alignment horizontal="center" vertical="center"/>
    </xf>
    <xf borderId="3" fillId="0" fontId="9" numFmtId="0" xfId="0" applyAlignment="1" applyBorder="1" applyFont="1">
      <alignment horizontal="center" vertical="bottom"/>
    </xf>
    <xf borderId="3" fillId="0" fontId="9" numFmtId="167" xfId="0" applyAlignment="1" applyBorder="1" applyFont="1" applyNumberFormat="1">
      <alignment horizontal="center" vertical="bottom"/>
    </xf>
    <xf borderId="3" fillId="0" fontId="9" numFmtId="0" xfId="0" applyAlignment="1" applyBorder="1" applyFont="1">
      <alignment horizontal="center" readingOrder="0" vertical="bottom"/>
    </xf>
    <xf borderId="2" fillId="0" fontId="9" numFmtId="0" xfId="0" applyAlignment="1" applyBorder="1" applyFont="1">
      <alignment horizontal="center" vertical="bottom"/>
    </xf>
    <xf borderId="4" fillId="8" fontId="8" numFmtId="0" xfId="0" applyAlignment="1" applyBorder="1" applyFill="1" applyFont="1">
      <alignment horizontal="center" readingOrder="0"/>
    </xf>
    <xf borderId="1" fillId="8" fontId="8" numFmtId="168" xfId="0" applyAlignment="1" applyBorder="1" applyFont="1" applyNumberFormat="1">
      <alignment horizontal="center"/>
    </xf>
    <xf borderId="4" fillId="8" fontId="8" numFmtId="0" xfId="0" applyAlignment="1" applyBorder="1" applyFont="1">
      <alignment horizontal="center" readingOrder="0" vertical="bottom"/>
    </xf>
    <xf borderId="4" fillId="8" fontId="8" numFmtId="167" xfId="0" applyAlignment="1" applyBorder="1" applyFont="1" applyNumberFormat="1">
      <alignment horizontal="center" vertical="bottom"/>
    </xf>
    <xf borderId="0" fillId="0" fontId="6" numFmtId="168" xfId="0" applyAlignment="1" applyFont="1" applyNumberFormat="1">
      <alignment vertical="bottom"/>
    </xf>
    <xf borderId="1" fillId="7" fontId="5" numFmtId="0" xfId="0" applyAlignment="1" applyBorder="1" applyFont="1">
      <alignment horizontal="center" readingOrder="0" vertical="bottom"/>
    </xf>
    <xf borderId="0" fillId="2" fontId="8" numFmtId="0" xfId="0" applyAlignment="1" applyFont="1">
      <alignment horizontal="center"/>
    </xf>
    <xf borderId="16" fillId="0" fontId="2" numFmtId="0" xfId="0" applyBorder="1" applyFont="1"/>
    <xf borderId="4" fillId="8" fontId="8" numFmtId="168" xfId="0" applyAlignment="1" applyBorder="1" applyFont="1" applyNumberFormat="1">
      <alignment horizontal="center"/>
    </xf>
    <xf borderId="4" fillId="8" fontId="8" numFmtId="0" xfId="0" applyAlignment="1" applyBorder="1" applyFont="1">
      <alignment horizontal="center" vertical="bottom"/>
    </xf>
    <xf borderId="4" fillId="8" fontId="6" numFmtId="0" xfId="0" applyAlignment="1" applyBorder="1" applyFont="1">
      <alignment horizontal="center" vertical="bottom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 Receita, Custo Fixo, Custo Variável e Custo Total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'3.'!$B$2</c:f>
            </c:strRef>
          </c:tx>
          <c:spPr>
            <a:ln cmpd="sng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'3.'!$A$3:$A$14</c:f>
            </c:strRef>
          </c:cat>
          <c:val>
            <c:numRef>
              <c:f>'3.'!$B$3:$B$14</c:f>
              <c:numCache/>
            </c:numRef>
          </c:val>
          <c:smooth val="1"/>
        </c:ser>
        <c:ser>
          <c:idx val="1"/>
          <c:order val="1"/>
          <c:tx>
            <c:strRef>
              <c:f>'3.'!$C$2</c:f>
            </c:strRef>
          </c:tx>
          <c:spPr>
            <a:ln cmpd="sng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'3.'!$A$3:$A$14</c:f>
            </c:strRef>
          </c:cat>
          <c:val>
            <c:numRef>
              <c:f>'3.'!$C$3:$C$14</c:f>
              <c:numCache/>
            </c:numRef>
          </c:val>
          <c:smooth val="1"/>
        </c:ser>
        <c:ser>
          <c:idx val="2"/>
          <c:order val="2"/>
          <c:tx>
            <c:strRef>
              <c:f>'3.'!$D$2</c:f>
            </c:strRef>
          </c:tx>
          <c:spPr>
            <a:ln cmpd="sng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'3.'!$A$3:$A$14</c:f>
            </c:strRef>
          </c:cat>
          <c:val>
            <c:numRef>
              <c:f>'3.'!$D$3:$D$14</c:f>
              <c:numCache/>
            </c:numRef>
          </c:val>
          <c:smooth val="1"/>
        </c:ser>
        <c:ser>
          <c:idx val="3"/>
          <c:order val="3"/>
          <c:tx>
            <c:strRef>
              <c:f>'3.'!$E$2</c:f>
            </c:strRef>
          </c:tx>
          <c:spPr>
            <a:ln cmpd="sng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'3.'!$A$3:$A$14</c:f>
            </c:strRef>
          </c:cat>
          <c:val>
            <c:numRef>
              <c:f>'3.'!$E$3:$E$14</c:f>
              <c:numCache/>
            </c:numRef>
          </c:val>
          <c:smooth val="1"/>
        </c:ser>
        <c:axId val="1389307263"/>
        <c:axId val="1896900059"/>
      </c:lineChart>
      <c:catAx>
        <c:axId val="1389307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Quantidade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896900059"/>
      </c:catAx>
      <c:valAx>
        <c:axId val="189690005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89307263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180975</xdr:colOff>
      <xdr:row>15</xdr:row>
      <xdr:rowOff>180975</xdr:rowOff>
    </xdr:from>
    <xdr:ext cx="142875" cy="161925"/>
    <xdr:sp>
      <xdr:nvSpPr>
        <xdr:cNvPr id="3" name="Shape 3"/>
        <xdr:cNvSpPr/>
      </xdr:nvSpPr>
      <xdr:spPr>
        <a:xfrm>
          <a:off x="3927000" y="1286325"/>
          <a:ext cx="391500" cy="431700"/>
        </a:xfrm>
        <a:prstGeom prst="mathMultiply">
          <a:avLst>
            <a:gd fmla="val 23520" name="adj1"/>
          </a:avLst>
        </a:prstGeom>
        <a:solidFill>
          <a:srgbClr val="000000"/>
        </a:solidFill>
        <a:ln cap="flat" cmpd="sng" w="9525">
          <a:solidFill>
            <a:srgbClr val="00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143000" cy="161925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4</xdr:row>
      <xdr:rowOff>0</xdr:rowOff>
    </xdr:from>
    <xdr:ext cx="542925" cy="200025"/>
    <xdr:pic>
      <xdr:nvPicPr>
        <xdr:cNvPr id="0" name="image1.png" title="Imagem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981075" cy="13335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15</xdr:row>
      <xdr:rowOff>28575</xdr:rowOff>
    </xdr:from>
    <xdr:ext cx="5000625" cy="3086100"/>
    <xdr:graphicFrame>
      <xdr:nvGraphicFramePr>
        <xdr:cNvPr id="1732153087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0</xdr:colOff>
      <xdr:row>0</xdr:row>
      <xdr:rowOff>0</xdr:rowOff>
    </xdr:from>
    <xdr:ext cx="885825" cy="12382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2019300" cy="28575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962025" cy="13335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7.14"/>
    <col customWidth="1" min="2" max="3" width="21.43"/>
    <col customWidth="1" min="4" max="4" width="22.14"/>
    <col customWidth="1" min="5" max="5" width="20.57"/>
    <col customWidth="1" min="6" max="6" width="16.29"/>
    <col customWidth="1" min="7" max="7" width="15.71"/>
    <col customWidth="1" min="8" max="9" width="16.86"/>
  </cols>
  <sheetData>
    <row r="1" ht="54.0" customHeight="1">
      <c r="A1" s="1"/>
      <c r="B1" s="2"/>
      <c r="C1" s="2"/>
      <c r="D1" s="2"/>
      <c r="E1" s="2"/>
      <c r="F1" s="2"/>
      <c r="G1" s="2"/>
      <c r="H1" s="2"/>
      <c r="I1" s="3"/>
    </row>
    <row r="2" ht="32.25" customHeight="1">
      <c r="A2" s="4" t="s">
        <v>0</v>
      </c>
      <c r="B2" s="5" t="s">
        <v>1</v>
      </c>
      <c r="C2" s="5" t="s">
        <v>2</v>
      </c>
      <c r="D2" s="5" t="s">
        <v>3</v>
      </c>
      <c r="E2" s="4" t="s">
        <v>4</v>
      </c>
      <c r="F2" s="5" t="s">
        <v>5</v>
      </c>
      <c r="G2" s="5" t="s">
        <v>6</v>
      </c>
      <c r="H2" s="5" t="s">
        <v>7</v>
      </c>
      <c r="I2" s="5" t="s">
        <v>8</v>
      </c>
    </row>
    <row r="3">
      <c r="A3" s="6">
        <v>50.0</v>
      </c>
      <c r="B3" s="6">
        <v>35.0</v>
      </c>
      <c r="C3" s="6">
        <v>720000.0</v>
      </c>
      <c r="D3" s="7">
        <v>150000.0</v>
      </c>
      <c r="E3" s="8">
        <f>A3-B3</f>
        <v>15</v>
      </c>
      <c r="F3" s="9">
        <f>E3*D3</f>
        <v>2250000</v>
      </c>
      <c r="G3" s="9">
        <f>A3*D3</f>
        <v>7500000</v>
      </c>
      <c r="H3" s="10">
        <f>F3/G3</f>
        <v>0.3</v>
      </c>
      <c r="I3" s="11">
        <f>F3-C3</f>
        <v>1530000</v>
      </c>
    </row>
    <row r="4" ht="15.75" customHeight="1">
      <c r="A4" s="12"/>
      <c r="E4" s="12"/>
      <c r="G4" s="13"/>
    </row>
    <row r="5" ht="15.75" customHeight="1">
      <c r="D5" s="14"/>
    </row>
    <row r="6" ht="15.75" customHeight="1">
      <c r="A6" s="15" t="s">
        <v>9</v>
      </c>
    </row>
    <row r="7" ht="15.75" customHeight="1">
      <c r="A7" s="16"/>
      <c r="B7" s="17" t="s">
        <v>7</v>
      </c>
    </row>
    <row r="8" ht="15.75" customHeight="1">
      <c r="A8" s="18"/>
      <c r="B8" s="17" t="s">
        <v>4</v>
      </c>
    </row>
    <row r="9" ht="15.75" customHeight="1">
      <c r="A9" s="12"/>
    </row>
    <row r="10" ht="15.75" customHeight="1">
      <c r="A10" s="12"/>
    </row>
    <row r="11" ht="15.75" customHeight="1">
      <c r="A11" s="12"/>
    </row>
    <row r="12" ht="15.75" customHeight="1">
      <c r="A12" s="12"/>
    </row>
    <row r="13" ht="15.75" customHeight="1">
      <c r="A13" s="12"/>
    </row>
    <row r="14" ht="15.75" customHeight="1">
      <c r="A14" s="12"/>
    </row>
    <row r="15" ht="15.75" customHeight="1">
      <c r="A15" s="12"/>
    </row>
    <row r="16" ht="15.75" customHeight="1">
      <c r="A16" s="12"/>
    </row>
    <row r="17" ht="15.75" customHeight="1">
      <c r="A17" s="12"/>
    </row>
    <row r="18" ht="15.75" customHeight="1">
      <c r="A18" s="12"/>
    </row>
  </sheetData>
  <mergeCells count="2">
    <mergeCell ref="A1:I1"/>
    <mergeCell ref="D5:I18"/>
  </mergeCells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5.0" topLeftCell="A6" activePane="bottomLeft" state="frozen"/>
      <selection activeCell="B7" sqref="B7" pane="bottomLeft"/>
    </sheetView>
  </sheetViews>
  <sheetFormatPr customHeight="1" defaultColWidth="14.43" defaultRowHeight="15.0"/>
  <cols>
    <col customWidth="1" min="1" max="1" width="14.71"/>
    <col customWidth="1" min="2" max="2" width="9.71"/>
    <col customWidth="1" min="3" max="3" width="13.57"/>
    <col customWidth="1" min="4" max="4" width="15.43"/>
    <col customWidth="1" min="5" max="5" width="15.57"/>
    <col customWidth="1" min="6" max="6" width="14.0"/>
    <col customWidth="1" min="7" max="7" width="13.86"/>
    <col customWidth="1" min="8" max="8" width="9.86"/>
    <col customWidth="1" min="9" max="10" width="10.0"/>
  </cols>
  <sheetData>
    <row r="1" ht="54.0" customHeight="1">
      <c r="A1" s="1"/>
      <c r="B1" s="2"/>
      <c r="C1" s="2"/>
      <c r="D1" s="2"/>
      <c r="E1" s="2"/>
      <c r="F1" s="2"/>
      <c r="G1" s="2"/>
      <c r="H1" s="2"/>
      <c r="I1" s="2"/>
      <c r="J1" s="3"/>
    </row>
    <row r="2">
      <c r="A2" s="19"/>
      <c r="B2" s="20"/>
      <c r="C2" s="4" t="s">
        <v>10</v>
      </c>
      <c r="D2" s="5" t="s">
        <v>11</v>
      </c>
      <c r="E2" s="5" t="s">
        <v>12</v>
      </c>
      <c r="F2" s="5" t="s">
        <v>13</v>
      </c>
      <c r="G2" s="4" t="s">
        <v>14</v>
      </c>
      <c r="H2" s="5" t="s">
        <v>15</v>
      </c>
      <c r="I2" s="5" t="s">
        <v>8</v>
      </c>
      <c r="J2" s="21" t="s">
        <v>16</v>
      </c>
    </row>
    <row r="3">
      <c r="A3" s="22"/>
      <c r="B3" s="23"/>
      <c r="C3" s="24">
        <v>0.045</v>
      </c>
      <c r="D3" s="24">
        <v>0.025</v>
      </c>
      <c r="E3" s="24">
        <v>0.02</v>
      </c>
      <c r="F3" s="24">
        <v>0.02</v>
      </c>
      <c r="G3" s="24">
        <v>0.035</v>
      </c>
      <c r="H3" s="24">
        <v>0.14</v>
      </c>
      <c r="I3" s="24">
        <v>0.12</v>
      </c>
      <c r="J3" s="25"/>
    </row>
    <row r="4">
      <c r="A4" s="6" t="s">
        <v>17</v>
      </c>
      <c r="B4" s="6">
        <v>52.1</v>
      </c>
      <c r="C4" s="6">
        <f>C8*C3</f>
        <v>3.940336134</v>
      </c>
      <c r="D4" s="6">
        <f>C8*D3</f>
        <v>2.18907563</v>
      </c>
      <c r="E4" s="6">
        <f>C8*E3</f>
        <v>1.751260504</v>
      </c>
      <c r="F4" s="6">
        <f>C8*F3</f>
        <v>1.751260504</v>
      </c>
      <c r="G4" s="6">
        <f>C8*G3</f>
        <v>3.064705882</v>
      </c>
      <c r="H4" s="6">
        <f>C8*H3</f>
        <v>12.25882353</v>
      </c>
      <c r="I4" s="6">
        <f>C8*I3</f>
        <v>10.50756303</v>
      </c>
      <c r="J4" s="6">
        <f t="shared" ref="J4:J5" si="1">SUM(B4:I4)</f>
        <v>87.56302521</v>
      </c>
    </row>
    <row r="5">
      <c r="A5" s="26" t="s">
        <v>18</v>
      </c>
      <c r="B5" s="26">
        <v>68.45</v>
      </c>
      <c r="C5" s="6">
        <f>C9*C3</f>
        <v>5.176890756</v>
      </c>
      <c r="D5" s="6">
        <f>C9*D3</f>
        <v>2.87605042</v>
      </c>
      <c r="E5" s="26">
        <f>C9*E3</f>
        <v>2.300840336</v>
      </c>
      <c r="F5" s="26">
        <f>C9*F3</f>
        <v>2.300840336</v>
      </c>
      <c r="G5" s="26">
        <f>C9*G3</f>
        <v>4.026470588</v>
      </c>
      <c r="H5" s="26">
        <f>C9*H3</f>
        <v>16.10588235</v>
      </c>
      <c r="I5" s="26">
        <f>C9*I3</f>
        <v>13.80504202</v>
      </c>
      <c r="J5" s="26">
        <f t="shared" si="1"/>
        <v>115.0420168</v>
      </c>
    </row>
    <row r="6" ht="1.5" customHeight="1">
      <c r="A6" s="27"/>
      <c r="B6" s="27"/>
      <c r="C6" s="27"/>
      <c r="D6" s="27"/>
      <c r="E6" s="27"/>
      <c r="F6" s="27"/>
      <c r="G6" s="27"/>
      <c r="H6" s="27"/>
      <c r="I6" s="27"/>
      <c r="J6" s="27"/>
    </row>
    <row r="7" ht="1.5" customHeight="1">
      <c r="A7" s="27"/>
      <c r="B7" s="27"/>
      <c r="C7" s="27"/>
      <c r="D7" s="27"/>
      <c r="E7" s="27"/>
      <c r="F7" s="27"/>
      <c r="G7" s="27"/>
      <c r="H7" s="27"/>
      <c r="I7" s="27"/>
      <c r="J7" s="27"/>
    </row>
    <row r="8" ht="15.75" customHeight="1">
      <c r="A8" s="28" t="s">
        <v>19</v>
      </c>
      <c r="B8" s="29">
        <f>100/(100-4.5-2.5-2-2-3.5-14-12)</f>
        <v>1.680672269</v>
      </c>
      <c r="C8" s="30">
        <f>B8*B4</f>
        <v>87.56302521</v>
      </c>
      <c r="D8" s="27"/>
      <c r="E8" s="27"/>
      <c r="F8" s="27"/>
      <c r="G8" s="27"/>
      <c r="H8" s="27"/>
      <c r="I8" s="27"/>
      <c r="J8" s="27"/>
    </row>
    <row r="9" ht="15.75" customHeight="1">
      <c r="A9" s="31"/>
      <c r="B9" s="32"/>
      <c r="C9" s="33">
        <f>B8*B5</f>
        <v>115.0420168</v>
      </c>
      <c r="D9" s="27"/>
      <c r="E9" s="27"/>
      <c r="F9" s="27"/>
      <c r="G9" s="27"/>
      <c r="H9" s="27"/>
      <c r="I9" s="27"/>
      <c r="J9" s="27"/>
    </row>
  </sheetData>
  <mergeCells count="3">
    <mergeCell ref="A1:J1"/>
    <mergeCell ref="A2:B3"/>
    <mergeCell ref="J2:J3"/>
  </mergeCells>
  <printOptions/>
  <pageMargins bottom="0.787401575" footer="0.0" header="0.0" left="0.511811024" right="0.511811024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3.29"/>
    <col customWidth="1" min="2" max="2" width="15.86"/>
    <col customWidth="1" min="3" max="3" width="16.29"/>
    <col customWidth="1" min="4" max="4" width="15.71"/>
    <col customWidth="1" min="5" max="5" width="15.0"/>
  </cols>
  <sheetData>
    <row r="1" ht="54.0" customHeight="1">
      <c r="A1" s="1"/>
      <c r="B1" s="2"/>
      <c r="C1" s="2"/>
      <c r="D1" s="2"/>
      <c r="E1" s="3"/>
    </row>
    <row r="2">
      <c r="A2" s="34" t="s">
        <v>20</v>
      </c>
      <c r="B2" s="4" t="s">
        <v>21</v>
      </c>
      <c r="C2" s="5" t="s">
        <v>15</v>
      </c>
      <c r="D2" s="5" t="s">
        <v>22</v>
      </c>
      <c r="E2" s="5" t="s">
        <v>23</v>
      </c>
    </row>
    <row r="3">
      <c r="A3" s="35">
        <v>0.0</v>
      </c>
      <c r="B3" s="9">
        <f t="shared" ref="B3:B14" si="1">A3*556</f>
        <v>0</v>
      </c>
      <c r="C3" s="6">
        <v>550000.0</v>
      </c>
      <c r="D3" s="9">
        <f t="shared" ref="D3:D14" si="2">A3*306</f>
        <v>0</v>
      </c>
      <c r="E3" s="9">
        <f t="shared" ref="E3:E14" si="3">C3+D3</f>
        <v>550000</v>
      </c>
    </row>
    <row r="4">
      <c r="A4" s="35">
        <v>220.0</v>
      </c>
      <c r="B4" s="9">
        <f t="shared" si="1"/>
        <v>122320</v>
      </c>
      <c r="C4" s="6">
        <v>550000.0</v>
      </c>
      <c r="D4" s="9">
        <f t="shared" si="2"/>
        <v>67320</v>
      </c>
      <c r="E4" s="9">
        <f t="shared" si="3"/>
        <v>617320</v>
      </c>
    </row>
    <row r="5">
      <c r="A5" s="35">
        <v>440.0</v>
      </c>
      <c r="B5" s="9">
        <f t="shared" si="1"/>
        <v>244640</v>
      </c>
      <c r="C5" s="6">
        <v>550000.0</v>
      </c>
      <c r="D5" s="9">
        <f t="shared" si="2"/>
        <v>134640</v>
      </c>
      <c r="E5" s="9">
        <f t="shared" si="3"/>
        <v>684640</v>
      </c>
    </row>
    <row r="6">
      <c r="A6" s="35">
        <v>660.0</v>
      </c>
      <c r="B6" s="9">
        <f t="shared" si="1"/>
        <v>366960</v>
      </c>
      <c r="C6" s="6">
        <v>550000.0</v>
      </c>
      <c r="D6" s="9">
        <f t="shared" si="2"/>
        <v>201960</v>
      </c>
      <c r="E6" s="9">
        <f t="shared" si="3"/>
        <v>751960</v>
      </c>
    </row>
    <row r="7">
      <c r="A7" s="35">
        <v>880.0</v>
      </c>
      <c r="B7" s="9">
        <f t="shared" si="1"/>
        <v>489280</v>
      </c>
      <c r="C7" s="6">
        <v>550000.0</v>
      </c>
      <c r="D7" s="9">
        <f t="shared" si="2"/>
        <v>269280</v>
      </c>
      <c r="E7" s="9">
        <f t="shared" si="3"/>
        <v>819280</v>
      </c>
    </row>
    <row r="8">
      <c r="A8" s="35">
        <v>1100.0</v>
      </c>
      <c r="B8" s="9">
        <f t="shared" si="1"/>
        <v>611600</v>
      </c>
      <c r="C8" s="6">
        <v>550000.0</v>
      </c>
      <c r="D8" s="9">
        <f t="shared" si="2"/>
        <v>336600</v>
      </c>
      <c r="E8" s="9">
        <f t="shared" si="3"/>
        <v>886600</v>
      </c>
    </row>
    <row r="9">
      <c r="A9" s="35">
        <v>1320.0</v>
      </c>
      <c r="B9" s="9">
        <f t="shared" si="1"/>
        <v>733920</v>
      </c>
      <c r="C9" s="6">
        <v>550000.0</v>
      </c>
      <c r="D9" s="9">
        <f t="shared" si="2"/>
        <v>403920</v>
      </c>
      <c r="E9" s="9">
        <f t="shared" si="3"/>
        <v>953920</v>
      </c>
    </row>
    <row r="10">
      <c r="A10" s="35">
        <v>1540.0</v>
      </c>
      <c r="B10" s="9">
        <f t="shared" si="1"/>
        <v>856240</v>
      </c>
      <c r="C10" s="6">
        <v>550000.0</v>
      </c>
      <c r="D10" s="9">
        <f t="shared" si="2"/>
        <v>471240</v>
      </c>
      <c r="E10" s="9">
        <f t="shared" si="3"/>
        <v>1021240</v>
      </c>
    </row>
    <row r="11">
      <c r="A11" s="35">
        <v>1760.0</v>
      </c>
      <c r="B11" s="9">
        <f t="shared" si="1"/>
        <v>978560</v>
      </c>
      <c r="C11" s="6">
        <v>550000.0</v>
      </c>
      <c r="D11" s="9">
        <f t="shared" si="2"/>
        <v>538560</v>
      </c>
      <c r="E11" s="9">
        <f t="shared" si="3"/>
        <v>1088560</v>
      </c>
    </row>
    <row r="12">
      <c r="A12" s="35">
        <v>1980.0</v>
      </c>
      <c r="B12" s="9">
        <f t="shared" si="1"/>
        <v>1100880</v>
      </c>
      <c r="C12" s="6">
        <v>550000.0</v>
      </c>
      <c r="D12" s="9">
        <f t="shared" si="2"/>
        <v>605880</v>
      </c>
      <c r="E12" s="9">
        <f t="shared" si="3"/>
        <v>1155880</v>
      </c>
    </row>
    <row r="13">
      <c r="A13" s="36">
        <v>2200.0</v>
      </c>
      <c r="B13" s="37">
        <f t="shared" si="1"/>
        <v>1223200</v>
      </c>
      <c r="C13" s="38">
        <v>550000.0</v>
      </c>
      <c r="D13" s="37">
        <f t="shared" si="2"/>
        <v>673200</v>
      </c>
      <c r="E13" s="37">
        <f t="shared" si="3"/>
        <v>1223200</v>
      </c>
    </row>
    <row r="14" ht="15.75" customHeight="1">
      <c r="A14" s="35">
        <v>2420.0</v>
      </c>
      <c r="B14" s="9">
        <f t="shared" si="1"/>
        <v>1345520</v>
      </c>
      <c r="C14" s="6">
        <v>550000.0</v>
      </c>
      <c r="D14" s="9">
        <f t="shared" si="2"/>
        <v>740520</v>
      </c>
      <c r="E14" s="9">
        <f t="shared" si="3"/>
        <v>1290520</v>
      </c>
    </row>
    <row r="15" ht="7.5" customHeight="1">
      <c r="A15" s="12"/>
      <c r="B15" s="12"/>
      <c r="C15" s="12"/>
      <c r="D15" s="12"/>
      <c r="E15" s="12"/>
    </row>
    <row r="16" ht="15.75" customHeight="1">
      <c r="A16" s="39"/>
      <c r="D16" s="13"/>
    </row>
    <row r="17" ht="15.75" customHeight="1">
      <c r="A17" s="39"/>
      <c r="D17" s="13"/>
    </row>
    <row r="18" ht="15.75" customHeight="1">
      <c r="A18" s="39"/>
      <c r="D18" s="13"/>
    </row>
    <row r="19" ht="15.75" customHeight="1">
      <c r="A19" s="39"/>
      <c r="D19" s="13"/>
    </row>
    <row r="20" ht="15.75" customHeight="1">
      <c r="A20" s="39"/>
      <c r="D20" s="13"/>
    </row>
    <row r="21" ht="15.75" customHeight="1">
      <c r="A21" s="39"/>
      <c r="D21" s="13"/>
    </row>
    <row r="22" ht="15.75" customHeight="1">
      <c r="A22" s="39"/>
      <c r="B22" s="12"/>
      <c r="D22" s="13"/>
    </row>
    <row r="23" ht="15.75" customHeight="1">
      <c r="A23" s="39"/>
      <c r="B23" s="12"/>
      <c r="D23" s="13"/>
    </row>
    <row r="24" ht="15.75" customHeight="1">
      <c r="A24" s="39"/>
      <c r="B24" s="12"/>
      <c r="D24" s="13"/>
    </row>
    <row r="25" ht="15.75" customHeight="1">
      <c r="A25" s="39"/>
      <c r="B25" s="12"/>
      <c r="D25" s="13"/>
    </row>
    <row r="26" ht="15.75" customHeight="1">
      <c r="A26" s="39"/>
      <c r="B26" s="12"/>
      <c r="D26" s="13"/>
    </row>
    <row r="27" ht="15.75" customHeight="1">
      <c r="A27" s="39"/>
      <c r="B27" s="12"/>
      <c r="D27" s="13"/>
    </row>
    <row r="28" ht="15.75" customHeight="1">
      <c r="A28" s="39"/>
      <c r="B28" s="12"/>
      <c r="D28" s="13"/>
    </row>
    <row r="29" ht="15.75" customHeight="1">
      <c r="A29" s="39"/>
      <c r="B29" s="12"/>
      <c r="D29" s="13"/>
    </row>
    <row r="30" ht="15.75" customHeight="1">
      <c r="A30" s="39"/>
      <c r="B30" s="12"/>
      <c r="D30" s="13"/>
    </row>
    <row r="31" ht="15.75" customHeight="1">
      <c r="A31" s="39"/>
      <c r="B31" s="12"/>
      <c r="D31" s="13"/>
    </row>
  </sheetData>
  <mergeCells count="1">
    <mergeCell ref="A1:E1"/>
  </mergeCells>
  <printOptions/>
  <pageMargins bottom="0.787401575" footer="0.0" header="0.0" left="0.511811024" right="0.511811024" top="0.7874015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26.0" topLeftCell="A27" activePane="bottomLeft" state="frozen"/>
      <selection activeCell="B28" sqref="B28" pane="bottomLeft"/>
    </sheetView>
  </sheetViews>
  <sheetFormatPr customHeight="1" defaultColWidth="14.43" defaultRowHeight="15.0"/>
  <cols>
    <col customWidth="1" min="1" max="1" width="30.29"/>
    <col customWidth="1" min="2" max="2" width="14.43"/>
    <col customWidth="1" min="3" max="3" width="13.86"/>
    <col customWidth="1" min="4" max="4" width="15.57"/>
    <col customWidth="1" min="5" max="5" width="13.57"/>
    <col customWidth="1" min="6" max="6" width="11.71"/>
    <col customWidth="1" min="7" max="7" width="15.43"/>
    <col customWidth="1" min="8" max="9" width="13.14"/>
    <col customWidth="1" min="10" max="10" width="13.71"/>
    <col customWidth="1" min="11" max="26" width="18.29"/>
  </cols>
  <sheetData>
    <row r="1" ht="54.0" customHeight="1">
      <c r="A1" s="40"/>
      <c r="B1" s="2"/>
      <c r="C1" s="2"/>
      <c r="D1" s="2"/>
      <c r="E1" s="2"/>
      <c r="F1" s="2"/>
      <c r="G1" s="2"/>
      <c r="H1" s="2"/>
      <c r="I1" s="2"/>
      <c r="J1" s="3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2" ht="25.5" customHeight="1">
      <c r="A2" s="42"/>
      <c r="B2" s="43" t="s">
        <v>24</v>
      </c>
      <c r="C2" s="44"/>
      <c r="D2" s="45"/>
      <c r="E2" s="43" t="s">
        <v>25</v>
      </c>
      <c r="F2" s="44"/>
      <c r="G2" s="45"/>
      <c r="H2" s="43" t="s">
        <v>26</v>
      </c>
      <c r="I2" s="44"/>
      <c r="J2" s="45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</row>
    <row r="3">
      <c r="A3" s="46" t="s">
        <v>27</v>
      </c>
      <c r="B3" s="47" t="s">
        <v>28</v>
      </c>
      <c r="C3" s="47" t="s">
        <v>29</v>
      </c>
      <c r="D3" s="47" t="s">
        <v>30</v>
      </c>
      <c r="E3" s="48" t="s">
        <v>20</v>
      </c>
      <c r="F3" s="48" t="s">
        <v>31</v>
      </c>
      <c r="G3" s="47" t="s">
        <v>30</v>
      </c>
      <c r="H3" s="48" t="s">
        <v>20</v>
      </c>
      <c r="I3" s="48" t="s">
        <v>31</v>
      </c>
      <c r="J3" s="47" t="s">
        <v>30</v>
      </c>
      <c r="K3" s="41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</row>
    <row r="4">
      <c r="A4" s="50"/>
      <c r="B4" s="51"/>
      <c r="C4" s="51"/>
      <c r="D4" s="51"/>
      <c r="E4" s="51"/>
      <c r="F4" s="51"/>
      <c r="G4" s="51"/>
      <c r="H4" s="51"/>
      <c r="I4" s="51"/>
      <c r="J4" s="23"/>
      <c r="K4" s="41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ht="16.5" customHeight="1">
      <c r="A5" s="52" t="s">
        <v>32</v>
      </c>
      <c r="B5" s="53">
        <v>42.0</v>
      </c>
      <c r="C5" s="54">
        <v>3200.0</v>
      </c>
      <c r="D5" s="54">
        <f>B5*C5</f>
        <v>134400</v>
      </c>
      <c r="E5" s="53">
        <v>88.0</v>
      </c>
      <c r="F5" s="54">
        <v>1700.0</v>
      </c>
      <c r="G5" s="54">
        <f>E5*F5</f>
        <v>149600</v>
      </c>
      <c r="H5" s="53">
        <v>50.0</v>
      </c>
      <c r="I5" s="54">
        <v>1250.0</v>
      </c>
      <c r="J5" s="54">
        <f>H5*I5</f>
        <v>62500</v>
      </c>
      <c r="K5" s="4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>
      <c r="A6" s="46"/>
      <c r="B6" s="41"/>
      <c r="J6" s="55"/>
      <c r="K6" s="4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</row>
    <row r="7">
      <c r="A7" s="56" t="s">
        <v>33</v>
      </c>
      <c r="B7" s="51"/>
      <c r="C7" s="51"/>
      <c r="D7" s="51"/>
      <c r="E7" s="51"/>
      <c r="F7" s="51"/>
      <c r="G7" s="51"/>
      <c r="H7" s="51"/>
      <c r="I7" s="51"/>
      <c r="J7" s="23"/>
      <c r="K7" s="4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</row>
    <row r="8">
      <c r="A8" s="57" t="s">
        <v>34</v>
      </c>
      <c r="B8" s="58"/>
      <c r="C8" s="59">
        <v>0.05</v>
      </c>
      <c r="D8" s="54">
        <f>D5*C8</f>
        <v>6720</v>
      </c>
      <c r="E8" s="58"/>
      <c r="F8" s="59">
        <v>0.05</v>
      </c>
      <c r="G8" s="54">
        <f>G5*F8</f>
        <v>7480</v>
      </c>
      <c r="H8" s="58"/>
      <c r="I8" s="59">
        <v>0.05</v>
      </c>
      <c r="J8" s="54">
        <f>J5*I8</f>
        <v>3125</v>
      </c>
      <c r="K8" s="4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</row>
    <row r="9">
      <c r="A9" s="57" t="s">
        <v>35</v>
      </c>
      <c r="B9" s="53">
        <v>42.0</v>
      </c>
      <c r="C9" s="54">
        <v>2000.0</v>
      </c>
      <c r="D9" s="54">
        <f>B9*C9</f>
        <v>84000</v>
      </c>
      <c r="E9" s="53">
        <v>88.0</v>
      </c>
      <c r="F9" s="54">
        <v>950.0</v>
      </c>
      <c r="G9" s="54">
        <f>E9*F9</f>
        <v>83600</v>
      </c>
      <c r="H9" s="53">
        <v>50.0</v>
      </c>
      <c r="I9" s="54">
        <v>750.0</v>
      </c>
      <c r="J9" s="54">
        <f>H9*I9</f>
        <v>37500</v>
      </c>
      <c r="K9" s="4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</row>
    <row r="10" ht="15.75" customHeight="1">
      <c r="A10" s="60"/>
      <c r="B10" s="51"/>
      <c r="C10" s="51"/>
      <c r="D10" s="51"/>
      <c r="E10" s="51"/>
      <c r="F10" s="51"/>
      <c r="G10" s="51"/>
      <c r="H10" s="51"/>
      <c r="I10" s="51"/>
      <c r="J10" s="23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ht="15.75" customHeight="1">
      <c r="A11" s="61" t="s">
        <v>36</v>
      </c>
      <c r="B11" s="62"/>
      <c r="C11" s="23"/>
      <c r="D11" s="54">
        <f>D5-D8-D9</f>
        <v>43680</v>
      </c>
      <c r="E11" s="62"/>
      <c r="F11" s="23"/>
      <c r="G11" s="54">
        <f>G5-G8-G9</f>
        <v>58520</v>
      </c>
      <c r="H11" s="62"/>
      <c r="I11" s="23"/>
      <c r="J11" s="54">
        <f>J5-J8-J9</f>
        <v>21875</v>
      </c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ht="15.75" customHeight="1">
      <c r="A12" s="60"/>
      <c r="B12" s="63"/>
      <c r="C12" s="63"/>
      <c r="D12" s="63"/>
      <c r="E12" s="58"/>
      <c r="F12" s="63"/>
      <c r="G12" s="63"/>
      <c r="H12" s="63"/>
      <c r="I12" s="63"/>
      <c r="J12" s="64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15.75" customHeight="1">
      <c r="A13" s="65" t="s">
        <v>37</v>
      </c>
      <c r="B13" s="41"/>
      <c r="C13" s="55"/>
      <c r="D13" s="59">
        <f>B5/C22</f>
        <v>0.2333333333</v>
      </c>
      <c r="E13" s="41"/>
      <c r="F13" s="55"/>
      <c r="G13" s="59">
        <f>E5/C22</f>
        <v>0.4888888889</v>
      </c>
      <c r="H13" s="41"/>
      <c r="I13" s="55"/>
      <c r="J13" s="59">
        <f>H5/C22</f>
        <v>0.2777777778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15.75" customHeight="1">
      <c r="A14" s="46" t="s">
        <v>38</v>
      </c>
      <c r="B14" s="51"/>
      <c r="C14" s="23"/>
      <c r="D14" s="54">
        <f>B26*D13</f>
        <v>4316.666667</v>
      </c>
      <c r="E14" s="51"/>
      <c r="F14" s="23"/>
      <c r="G14" s="54">
        <f>B26*G13</f>
        <v>9044.444444</v>
      </c>
      <c r="H14" s="51"/>
      <c r="I14" s="23"/>
      <c r="J14" s="54">
        <f>B26*J13</f>
        <v>5138.888889</v>
      </c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ht="15.75" customHeight="1">
      <c r="A15" s="60"/>
      <c r="B15" s="51"/>
      <c r="C15" s="51"/>
      <c r="D15" s="51"/>
      <c r="E15" s="51"/>
      <c r="F15" s="51"/>
      <c r="G15" s="51"/>
      <c r="H15" s="51"/>
      <c r="I15" s="51"/>
      <c r="J15" s="23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15.75" customHeight="1">
      <c r="A16" s="46" t="s">
        <v>39</v>
      </c>
      <c r="B16" s="62"/>
      <c r="C16" s="23"/>
      <c r="D16" s="54">
        <f>D11-D14</f>
        <v>39363.33333</v>
      </c>
      <c r="E16" s="62"/>
      <c r="F16" s="23"/>
      <c r="G16" s="54">
        <f>G11-G14</f>
        <v>49475.55556</v>
      </c>
      <c r="H16" s="62"/>
      <c r="I16" s="23"/>
      <c r="J16" s="54">
        <f>J11-J14</f>
        <v>16736.11111</v>
      </c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15.75" customHeight="1">
      <c r="A17" s="66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15.75" customHeight="1">
      <c r="A18" s="42" t="s">
        <v>40</v>
      </c>
      <c r="B18" s="67"/>
      <c r="C18" s="20"/>
      <c r="D18" s="68">
        <f>D14/(C5-((D8+D9)/B5))</f>
        <v>4.150641026</v>
      </c>
      <c r="E18" s="69"/>
      <c r="F18" s="20"/>
      <c r="G18" s="68">
        <f>G14/((F5-(G8+G9)/E5))</f>
        <v>13.60066834</v>
      </c>
      <c r="H18" s="69"/>
      <c r="I18" s="20"/>
      <c r="J18" s="68">
        <f>J14/(I5-((J8+J9)/H5))</f>
        <v>11.74603175</v>
      </c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ht="15.75" customHeight="1">
      <c r="A19" s="70"/>
      <c r="B19" s="22"/>
      <c r="C19" s="23"/>
      <c r="D19" s="71">
        <f>D18*C5</f>
        <v>13282.05128</v>
      </c>
      <c r="E19" s="22"/>
      <c r="F19" s="23"/>
      <c r="G19" s="71">
        <f>G18*F5</f>
        <v>23121.13617</v>
      </c>
      <c r="H19" s="22"/>
      <c r="I19" s="23"/>
      <c r="J19" s="71">
        <f>J18*I5</f>
        <v>14682.53968</v>
      </c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ht="15.75" customHeight="1">
      <c r="A20" s="72" t="s">
        <v>41</v>
      </c>
      <c r="B20" s="73"/>
      <c r="C20" s="73"/>
      <c r="D20" s="74">
        <f>D16/D5</f>
        <v>0.2928819444</v>
      </c>
      <c r="E20" s="75"/>
      <c r="F20" s="76"/>
      <c r="G20" s="74">
        <f>G16/G5</f>
        <v>0.3307189542</v>
      </c>
      <c r="H20" s="73"/>
      <c r="I20" s="73"/>
      <c r="J20" s="74">
        <f>J16/J5</f>
        <v>0.2677777778</v>
      </c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ht="15.75" customHeight="1">
      <c r="A21" s="77" t="s">
        <v>15</v>
      </c>
      <c r="B21" s="41"/>
      <c r="C21" s="78" t="s">
        <v>42</v>
      </c>
      <c r="D21" s="79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ht="15.75" customHeight="1">
      <c r="A22" s="70" t="s">
        <v>43</v>
      </c>
      <c r="B22" s="71">
        <v>2500.0</v>
      </c>
      <c r="C22" s="80">
        <f>B5+E5+H5</f>
        <v>180</v>
      </c>
      <c r="D22" s="81">
        <v>1.0</v>
      </c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ht="15.75" customHeight="1">
      <c r="A23" s="70" t="s">
        <v>44</v>
      </c>
      <c r="B23" s="71">
        <v>2200.0</v>
      </c>
      <c r="C23" s="41"/>
      <c r="D23" s="41"/>
      <c r="E23" s="82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ht="15.75" customHeight="1">
      <c r="A24" s="70" t="s">
        <v>45</v>
      </c>
      <c r="B24" s="71">
        <v>12000.0</v>
      </c>
      <c r="C24" s="41"/>
      <c r="D24" s="41"/>
      <c r="E24" s="83"/>
      <c r="F24" s="84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ht="15.75" customHeight="1">
      <c r="A25" s="70" t="s">
        <v>46</v>
      </c>
      <c r="B25" s="71">
        <v>1800.0</v>
      </c>
      <c r="C25" s="41"/>
      <c r="D25" s="41"/>
      <c r="E25" s="83"/>
      <c r="F25" s="85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ht="15.75" customHeight="1">
      <c r="A26" s="86" t="s">
        <v>47</v>
      </c>
      <c r="B26" s="71">
        <f>SUM(B22:B25)</f>
        <v>18500</v>
      </c>
      <c r="C26" s="41"/>
      <c r="D26" s="41"/>
      <c r="E26" s="87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ht="1.5" customHeight="1">
      <c r="A27" s="66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</sheetData>
  <mergeCells count="20">
    <mergeCell ref="A1:J1"/>
    <mergeCell ref="B2:D2"/>
    <mergeCell ref="E2:G2"/>
    <mergeCell ref="H2:J2"/>
    <mergeCell ref="A4:J4"/>
    <mergeCell ref="B6:J7"/>
    <mergeCell ref="A10:J10"/>
    <mergeCell ref="B16:C16"/>
    <mergeCell ref="E16:F16"/>
    <mergeCell ref="H16:I16"/>
    <mergeCell ref="B18:C19"/>
    <mergeCell ref="H18:I19"/>
    <mergeCell ref="E18:F19"/>
    <mergeCell ref="B11:C11"/>
    <mergeCell ref="E11:F11"/>
    <mergeCell ref="H11:I11"/>
    <mergeCell ref="E13:F14"/>
    <mergeCell ref="H13:I14"/>
    <mergeCell ref="A15:J15"/>
    <mergeCell ref="B13:C14"/>
  </mergeCells>
  <printOptions/>
  <pageMargins bottom="0.787401575" footer="0.0" header="0.0" left="0.511811024" right="0.511811024" top="0.7874015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2" max="2" width="12.86"/>
    <col customWidth="1" min="3" max="3" width="5.86"/>
    <col customWidth="1" min="6" max="6" width="6.14"/>
    <col customWidth="1" min="9" max="9" width="9.29"/>
  </cols>
  <sheetData>
    <row r="1" ht="54.0" customHeight="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>
      <c r="A2" s="88" t="s">
        <v>48</v>
      </c>
    </row>
    <row r="3">
      <c r="A3" s="89"/>
      <c r="B3" s="90"/>
      <c r="C3" s="91" t="s">
        <v>49</v>
      </c>
      <c r="D3" s="2"/>
      <c r="E3" s="3"/>
      <c r="F3" s="91" t="s">
        <v>50</v>
      </c>
      <c r="G3" s="2"/>
      <c r="H3" s="3"/>
      <c r="I3" s="91" t="s">
        <v>51</v>
      </c>
      <c r="J3" s="2"/>
      <c r="K3" s="3"/>
    </row>
    <row r="4">
      <c r="A4" s="92" t="s">
        <v>52</v>
      </c>
      <c r="B4" s="93" t="s">
        <v>53</v>
      </c>
      <c r="C4" s="93" t="s">
        <v>54</v>
      </c>
      <c r="D4" s="93" t="s">
        <v>55</v>
      </c>
      <c r="E4" s="93" t="s">
        <v>30</v>
      </c>
      <c r="F4" s="93" t="s">
        <v>54</v>
      </c>
      <c r="G4" s="93" t="s">
        <v>55</v>
      </c>
      <c r="H4" s="93" t="s">
        <v>30</v>
      </c>
      <c r="I4" s="93" t="s">
        <v>54</v>
      </c>
      <c r="J4" s="93" t="s">
        <v>55</v>
      </c>
      <c r="K4" s="93" t="s">
        <v>30</v>
      </c>
    </row>
    <row r="5">
      <c r="A5" s="94">
        <v>43831.0</v>
      </c>
      <c r="B5" s="95" t="s">
        <v>56</v>
      </c>
      <c r="C5" s="96" t="s">
        <v>57</v>
      </c>
      <c r="D5" s="96" t="s">
        <v>57</v>
      </c>
      <c r="E5" s="96" t="s">
        <v>57</v>
      </c>
      <c r="F5" s="96" t="s">
        <v>57</v>
      </c>
      <c r="G5" s="96" t="s">
        <v>57</v>
      </c>
      <c r="H5" s="96" t="s">
        <v>57</v>
      </c>
      <c r="I5" s="95">
        <v>20.0</v>
      </c>
      <c r="J5" s="97">
        <v>1700.0</v>
      </c>
      <c r="K5" s="98">
        <f t="shared" ref="K5:K6" si="1">I5*J5</f>
        <v>34000</v>
      </c>
    </row>
    <row r="6">
      <c r="A6" s="99">
        <v>43832.0</v>
      </c>
      <c r="B6" s="100" t="s">
        <v>58</v>
      </c>
      <c r="C6" s="96">
        <v>30.0</v>
      </c>
      <c r="D6" s="97">
        <v>1750.0</v>
      </c>
      <c r="E6" s="98">
        <f>C6*D6</f>
        <v>52500</v>
      </c>
      <c r="F6" s="96" t="s">
        <v>57</v>
      </c>
      <c r="G6" s="96" t="s">
        <v>57</v>
      </c>
      <c r="H6" s="96" t="s">
        <v>57</v>
      </c>
      <c r="I6" s="96">
        <v>30.0</v>
      </c>
      <c r="J6" s="97">
        <v>1750.0</v>
      </c>
      <c r="K6" s="98">
        <f t="shared" si="1"/>
        <v>52500</v>
      </c>
    </row>
    <row r="7">
      <c r="A7" s="25"/>
      <c r="B7" s="25"/>
      <c r="C7" s="101"/>
      <c r="D7" s="2"/>
      <c r="E7" s="2"/>
      <c r="F7" s="2"/>
      <c r="G7" s="2"/>
      <c r="H7" s="3"/>
      <c r="I7" s="96">
        <v>20.0</v>
      </c>
      <c r="J7" s="97">
        <v>1700.0</v>
      </c>
      <c r="K7" s="98">
        <f t="shared" ref="K7:K8" si="2">J7*I7</f>
        <v>34000</v>
      </c>
    </row>
    <row r="8">
      <c r="A8" s="99">
        <v>43863.0</v>
      </c>
      <c r="B8" s="100" t="s">
        <v>59</v>
      </c>
      <c r="C8" s="100" t="s">
        <v>57</v>
      </c>
      <c r="D8" s="100" t="s">
        <v>57</v>
      </c>
      <c r="E8" s="100" t="s">
        <v>57</v>
      </c>
      <c r="F8" s="96">
        <v>20.0</v>
      </c>
      <c r="G8" s="97">
        <v>1700.0</v>
      </c>
      <c r="H8" s="98">
        <f t="shared" ref="H8:H9" si="3">G8*F8</f>
        <v>34000</v>
      </c>
      <c r="I8" s="100">
        <v>20.0</v>
      </c>
      <c r="J8" s="102">
        <f>D6</f>
        <v>1750</v>
      </c>
      <c r="K8" s="103">
        <f t="shared" si="2"/>
        <v>35000</v>
      </c>
    </row>
    <row r="9">
      <c r="A9" s="104"/>
      <c r="B9" s="25"/>
      <c r="C9" s="25"/>
      <c r="D9" s="25"/>
      <c r="E9" s="25"/>
      <c r="F9" s="96">
        <v>10.0</v>
      </c>
      <c r="G9" s="97">
        <v>1750.0</v>
      </c>
      <c r="H9" s="98">
        <f t="shared" si="3"/>
        <v>17500</v>
      </c>
      <c r="I9" s="25"/>
      <c r="J9" s="25"/>
      <c r="K9" s="25"/>
    </row>
    <row r="10">
      <c r="A10" s="25"/>
      <c r="B10" s="96" t="s">
        <v>58</v>
      </c>
      <c r="C10" s="96">
        <v>10.0</v>
      </c>
      <c r="D10" s="97">
        <v>1760.0</v>
      </c>
      <c r="E10" s="98">
        <f>C10*D10</f>
        <v>17600</v>
      </c>
      <c r="F10" s="96" t="s">
        <v>57</v>
      </c>
      <c r="G10" s="96" t="s">
        <v>57</v>
      </c>
      <c r="H10" s="96" t="s">
        <v>57</v>
      </c>
      <c r="I10" s="96">
        <v>10.0</v>
      </c>
      <c r="J10" s="97">
        <v>1760.0</v>
      </c>
      <c r="K10" s="98">
        <f t="shared" ref="K10:K12" si="4">J10*I10</f>
        <v>17600</v>
      </c>
    </row>
    <row r="11">
      <c r="A11" s="105">
        <v>43892.0</v>
      </c>
      <c r="B11" s="106" t="s">
        <v>59</v>
      </c>
      <c r="C11" s="107" t="s">
        <v>57</v>
      </c>
      <c r="D11" s="108" t="s">
        <v>57</v>
      </c>
      <c r="E11" s="108" t="s">
        <v>57</v>
      </c>
      <c r="F11" s="107">
        <v>10.0</v>
      </c>
      <c r="G11" s="108">
        <v>1750.0</v>
      </c>
      <c r="H11" s="108">
        <f>G11*F11</f>
        <v>17500</v>
      </c>
      <c r="I11" s="109">
        <v>10.0</v>
      </c>
      <c r="J11" s="108">
        <f>J8</f>
        <v>1750</v>
      </c>
      <c r="K11" s="108">
        <f t="shared" si="4"/>
        <v>17500</v>
      </c>
    </row>
    <row r="12">
      <c r="A12" s="25"/>
      <c r="B12" s="23"/>
      <c r="C12" s="110"/>
      <c r="D12" s="2"/>
      <c r="E12" s="2"/>
      <c r="F12" s="2"/>
      <c r="G12" s="2"/>
      <c r="H12" s="3"/>
      <c r="I12" s="96">
        <v>10.0</v>
      </c>
      <c r="J12" s="97">
        <v>1760.0</v>
      </c>
      <c r="K12" s="98">
        <f t="shared" si="4"/>
        <v>17600</v>
      </c>
    </row>
    <row r="13">
      <c r="A13" s="99">
        <v>43895.0</v>
      </c>
      <c r="B13" s="100" t="s">
        <v>58</v>
      </c>
      <c r="C13" s="96">
        <v>50.0</v>
      </c>
      <c r="D13" s="97">
        <v>1800.0</v>
      </c>
      <c r="E13" s="98">
        <f>D13*C13</f>
        <v>90000</v>
      </c>
      <c r="F13" s="96" t="s">
        <v>57</v>
      </c>
      <c r="G13" s="96" t="s">
        <v>57</v>
      </c>
      <c r="H13" s="96" t="s">
        <v>57</v>
      </c>
      <c r="I13" s="96">
        <v>50.0</v>
      </c>
      <c r="J13" s="98">
        <f>D13</f>
        <v>1800</v>
      </c>
      <c r="K13" s="98">
        <f t="shared" ref="K13:K16" si="6">I13*J13</f>
        <v>90000</v>
      </c>
    </row>
    <row r="14">
      <c r="A14" s="104"/>
      <c r="B14" s="104"/>
      <c r="C14" s="96" t="s">
        <v>57</v>
      </c>
      <c r="D14" s="96" t="s">
        <v>57</v>
      </c>
      <c r="E14" s="96" t="s">
        <v>57</v>
      </c>
      <c r="F14" s="96" t="s">
        <v>57</v>
      </c>
      <c r="G14" s="96" t="s">
        <v>57</v>
      </c>
      <c r="H14" s="96" t="s">
        <v>57</v>
      </c>
      <c r="I14" s="95">
        <f t="shared" ref="I14:J14" si="5">I11</f>
        <v>10</v>
      </c>
      <c r="J14" s="98">
        <f t="shared" si="5"/>
        <v>1750</v>
      </c>
      <c r="K14" s="98">
        <f t="shared" si="6"/>
        <v>17500</v>
      </c>
    </row>
    <row r="15">
      <c r="A15" s="25"/>
      <c r="B15" s="25"/>
      <c r="C15" s="96" t="s">
        <v>57</v>
      </c>
      <c r="D15" s="96" t="s">
        <v>57</v>
      </c>
      <c r="E15" s="96" t="s">
        <v>57</v>
      </c>
      <c r="F15" s="96" t="s">
        <v>57</v>
      </c>
      <c r="G15" s="96" t="s">
        <v>57</v>
      </c>
      <c r="H15" s="96" t="s">
        <v>57</v>
      </c>
      <c r="I15" s="95">
        <f t="shared" ref="I15:J15" si="7">I12</f>
        <v>10</v>
      </c>
      <c r="J15" s="98">
        <f t="shared" si="7"/>
        <v>1760</v>
      </c>
      <c r="K15" s="98">
        <f t="shared" si="6"/>
        <v>17600</v>
      </c>
    </row>
    <row r="16">
      <c r="A16" s="99">
        <v>43927.0</v>
      </c>
      <c r="B16" s="106" t="s">
        <v>59</v>
      </c>
      <c r="C16" s="96" t="s">
        <v>57</v>
      </c>
      <c r="D16" s="96" t="s">
        <v>57</v>
      </c>
      <c r="E16" s="96" t="s">
        <v>57</v>
      </c>
      <c r="F16" s="96">
        <v>10.0</v>
      </c>
      <c r="G16" s="97">
        <f>J14</f>
        <v>1750</v>
      </c>
      <c r="H16" s="98">
        <f>F16*G16</f>
        <v>17500</v>
      </c>
      <c r="I16" s="100">
        <f>(I13+I14+I15)-F16-F17-F18</f>
        <v>30</v>
      </c>
      <c r="J16" s="103">
        <f>J13</f>
        <v>1800</v>
      </c>
      <c r="K16" s="103">
        <f t="shared" si="6"/>
        <v>54000</v>
      </c>
    </row>
    <row r="17">
      <c r="A17" s="104"/>
      <c r="B17" s="55"/>
      <c r="C17" s="96" t="s">
        <v>57</v>
      </c>
      <c r="D17" s="96" t="s">
        <v>57</v>
      </c>
      <c r="E17" s="96" t="s">
        <v>57</v>
      </c>
      <c r="F17" s="96">
        <f t="shared" ref="F17:H17" si="8">I15</f>
        <v>10</v>
      </c>
      <c r="G17" s="97">
        <f t="shared" si="8"/>
        <v>1760</v>
      </c>
      <c r="H17" s="98">
        <f t="shared" si="8"/>
        <v>17600</v>
      </c>
      <c r="I17" s="104"/>
      <c r="J17" s="104"/>
      <c r="K17" s="104"/>
    </row>
    <row r="18">
      <c r="A18" s="25"/>
      <c r="B18" s="23"/>
      <c r="C18" s="96" t="s">
        <v>57</v>
      </c>
      <c r="D18" s="96" t="s">
        <v>57</v>
      </c>
      <c r="E18" s="96" t="s">
        <v>57</v>
      </c>
      <c r="F18" s="96">
        <v>20.0</v>
      </c>
      <c r="G18" s="97">
        <f>J13</f>
        <v>1800</v>
      </c>
      <c r="H18" s="98">
        <f>G18*F18</f>
        <v>36000</v>
      </c>
      <c r="I18" s="25"/>
      <c r="J18" s="25"/>
      <c r="K18" s="25"/>
    </row>
    <row r="19">
      <c r="A19" s="111" t="s">
        <v>30</v>
      </c>
      <c r="B19" s="112"/>
      <c r="C19" s="2"/>
      <c r="D19" s="2"/>
      <c r="E19" s="2"/>
      <c r="F19" s="2"/>
      <c r="G19" s="2"/>
      <c r="H19" s="3"/>
      <c r="I19" s="113">
        <f>I16</f>
        <v>30</v>
      </c>
      <c r="J19" s="114"/>
      <c r="K19" s="114">
        <f>K16</f>
        <v>54000</v>
      </c>
    </row>
    <row r="20">
      <c r="A20" s="115"/>
    </row>
    <row r="21">
      <c r="A21" s="116" t="s">
        <v>60</v>
      </c>
      <c r="B21" s="2"/>
      <c r="C21" s="2"/>
      <c r="D21" s="2"/>
      <c r="E21" s="2"/>
      <c r="F21" s="2"/>
      <c r="G21" s="2"/>
      <c r="H21" s="2"/>
      <c r="I21" s="2"/>
      <c r="J21" s="2"/>
      <c r="K21" s="3"/>
    </row>
    <row r="22">
      <c r="A22" s="89"/>
      <c r="B22" s="90"/>
      <c r="C22" s="117" t="s">
        <v>49</v>
      </c>
      <c r="E22" s="118"/>
      <c r="F22" s="117" t="s">
        <v>50</v>
      </c>
      <c r="H22" s="118"/>
      <c r="I22" s="117" t="s">
        <v>51</v>
      </c>
      <c r="K22" s="118"/>
    </row>
    <row r="23">
      <c r="A23" s="92" t="s">
        <v>52</v>
      </c>
      <c r="B23" s="93" t="s">
        <v>53</v>
      </c>
      <c r="C23" s="93" t="s">
        <v>54</v>
      </c>
      <c r="D23" s="93" t="s">
        <v>55</v>
      </c>
      <c r="E23" s="93" t="s">
        <v>30</v>
      </c>
      <c r="F23" s="93" t="s">
        <v>54</v>
      </c>
      <c r="G23" s="93" t="s">
        <v>55</v>
      </c>
      <c r="H23" s="93" t="s">
        <v>30</v>
      </c>
      <c r="I23" s="93" t="s">
        <v>54</v>
      </c>
      <c r="J23" s="93" t="s">
        <v>55</v>
      </c>
      <c r="K23" s="93" t="s">
        <v>30</v>
      </c>
    </row>
    <row r="24">
      <c r="A24" s="94">
        <v>43831.0</v>
      </c>
      <c r="B24" s="95" t="s">
        <v>56</v>
      </c>
      <c r="C24" s="96" t="s">
        <v>57</v>
      </c>
      <c r="D24" s="96" t="s">
        <v>57</v>
      </c>
      <c r="E24" s="96" t="s">
        <v>57</v>
      </c>
      <c r="F24" s="96" t="s">
        <v>57</v>
      </c>
      <c r="G24" s="96" t="s">
        <v>57</v>
      </c>
      <c r="H24" s="96" t="s">
        <v>57</v>
      </c>
      <c r="I24" s="95">
        <v>20.0</v>
      </c>
      <c r="J24" s="97">
        <v>1700.0</v>
      </c>
      <c r="K24" s="98">
        <f t="shared" ref="K24:K25" si="9">I24*J24</f>
        <v>34000</v>
      </c>
    </row>
    <row r="25">
      <c r="A25" s="94">
        <v>43832.0</v>
      </c>
      <c r="B25" s="96" t="s">
        <v>58</v>
      </c>
      <c r="C25" s="96">
        <v>30.0</v>
      </c>
      <c r="D25" s="97">
        <v>1750.0</v>
      </c>
      <c r="E25" s="98">
        <f>C25*D25</f>
        <v>52500</v>
      </c>
      <c r="F25" s="96" t="s">
        <v>57</v>
      </c>
      <c r="G25" s="96" t="s">
        <v>57</v>
      </c>
      <c r="H25" s="96" t="s">
        <v>57</v>
      </c>
      <c r="I25" s="95">
        <f>I24+C25</f>
        <v>50</v>
      </c>
      <c r="J25" s="97">
        <f>(K24+E25)/I25</f>
        <v>1730</v>
      </c>
      <c r="K25" s="98">
        <f t="shared" si="9"/>
        <v>86500</v>
      </c>
    </row>
    <row r="26">
      <c r="A26" s="94">
        <v>43863.0</v>
      </c>
      <c r="B26" s="96" t="s">
        <v>59</v>
      </c>
      <c r="C26" s="96" t="s">
        <v>57</v>
      </c>
      <c r="D26" s="96" t="s">
        <v>57</v>
      </c>
      <c r="E26" s="96" t="s">
        <v>57</v>
      </c>
      <c r="F26" s="96">
        <v>30.0</v>
      </c>
      <c r="G26" s="97">
        <f>J25</f>
        <v>1730</v>
      </c>
      <c r="H26" s="98">
        <f>G26*F26</f>
        <v>51900</v>
      </c>
      <c r="I26" s="95">
        <f>I25-F26</f>
        <v>20</v>
      </c>
      <c r="J26" s="97">
        <f>J25</f>
        <v>1730</v>
      </c>
      <c r="K26" s="98">
        <f t="shared" ref="K26:K28" si="10">J26*I26</f>
        <v>34600</v>
      </c>
    </row>
    <row r="27">
      <c r="A27" s="94">
        <v>43863.0</v>
      </c>
      <c r="B27" s="96" t="s">
        <v>58</v>
      </c>
      <c r="C27" s="96">
        <v>10.0</v>
      </c>
      <c r="D27" s="97">
        <v>1760.0</v>
      </c>
      <c r="E27" s="98">
        <f>C27*D27</f>
        <v>17600</v>
      </c>
      <c r="F27" s="96" t="s">
        <v>57</v>
      </c>
      <c r="G27" s="96" t="s">
        <v>57</v>
      </c>
      <c r="H27" s="96" t="s">
        <v>57</v>
      </c>
      <c r="I27" s="95">
        <f>I26+C27</f>
        <v>30</v>
      </c>
      <c r="J27" s="97">
        <f>(K26+E27)/I27</f>
        <v>1740</v>
      </c>
      <c r="K27" s="98">
        <f t="shared" si="10"/>
        <v>52200</v>
      </c>
    </row>
    <row r="28">
      <c r="A28" s="94">
        <v>43892.0</v>
      </c>
      <c r="B28" s="96" t="s">
        <v>59</v>
      </c>
      <c r="C28" s="96" t="s">
        <v>57</v>
      </c>
      <c r="D28" s="96" t="s">
        <v>57</v>
      </c>
      <c r="E28" s="96" t="s">
        <v>57</v>
      </c>
      <c r="F28" s="96">
        <v>10.0</v>
      </c>
      <c r="G28" s="97">
        <f>J27</f>
        <v>1740</v>
      </c>
      <c r="H28" s="98">
        <f>G28*F28</f>
        <v>17400</v>
      </c>
      <c r="I28" s="95">
        <f>I27-F28</f>
        <v>20</v>
      </c>
      <c r="J28" s="98">
        <f>J27</f>
        <v>1740</v>
      </c>
      <c r="K28" s="98">
        <f t="shared" si="10"/>
        <v>34800</v>
      </c>
    </row>
    <row r="29">
      <c r="A29" s="94">
        <v>43895.0</v>
      </c>
      <c r="B29" s="96" t="s">
        <v>58</v>
      </c>
      <c r="C29" s="96">
        <v>50.0</v>
      </c>
      <c r="D29" s="97">
        <v>1800.0</v>
      </c>
      <c r="E29" s="98">
        <f>D29*C29</f>
        <v>90000</v>
      </c>
      <c r="F29" s="96"/>
      <c r="G29" s="97"/>
      <c r="H29" s="98"/>
      <c r="I29" s="95">
        <f>I28+C29</f>
        <v>70</v>
      </c>
      <c r="J29" s="98">
        <f>(K28+E29)/I29</f>
        <v>1782.857143</v>
      </c>
      <c r="K29" s="98">
        <f t="shared" ref="K29:K30" si="11">I29*J29</f>
        <v>124800</v>
      </c>
    </row>
    <row r="30">
      <c r="A30" s="94">
        <v>43927.0</v>
      </c>
      <c r="B30" s="96" t="s">
        <v>59</v>
      </c>
      <c r="C30" s="96" t="s">
        <v>57</v>
      </c>
      <c r="D30" s="96" t="s">
        <v>57</v>
      </c>
      <c r="E30" s="96" t="s">
        <v>57</v>
      </c>
      <c r="F30" s="96">
        <v>40.0</v>
      </c>
      <c r="G30" s="97">
        <v>1800.0</v>
      </c>
      <c r="H30" s="98">
        <f>G30*F30</f>
        <v>72000</v>
      </c>
      <c r="I30" s="96">
        <v>30.0</v>
      </c>
      <c r="J30" s="97">
        <f>(K28+E29)/I29</f>
        <v>1782.857143</v>
      </c>
      <c r="K30" s="98">
        <f t="shared" si="11"/>
        <v>53485.71429</v>
      </c>
    </row>
    <row r="31">
      <c r="A31" s="111" t="s">
        <v>30</v>
      </c>
      <c r="B31" s="119"/>
      <c r="C31" s="120">
        <f>SUM(C24:C30)</f>
        <v>90</v>
      </c>
      <c r="D31" s="121"/>
      <c r="E31" s="114">
        <f>SUM(E24:E30)</f>
        <v>160100</v>
      </c>
      <c r="F31" s="120">
        <f>SUM(F25:F30)</f>
        <v>80</v>
      </c>
      <c r="G31" s="121"/>
      <c r="H31" s="114">
        <f>SUM(H24:H30)</f>
        <v>141300</v>
      </c>
      <c r="I31" s="113">
        <f>I30</f>
        <v>30</v>
      </c>
      <c r="J31" s="114"/>
      <c r="K31" s="114">
        <f>K30</f>
        <v>53485.71429</v>
      </c>
    </row>
  </sheetData>
  <mergeCells count="32">
    <mergeCell ref="C22:E22"/>
    <mergeCell ref="F22:H22"/>
    <mergeCell ref="B19:H19"/>
    <mergeCell ref="C8:C9"/>
    <mergeCell ref="D8:D9"/>
    <mergeCell ref="F3:H3"/>
    <mergeCell ref="B8:B9"/>
    <mergeCell ref="C7:H7"/>
    <mergeCell ref="A8:A10"/>
    <mergeCell ref="A11:A12"/>
    <mergeCell ref="B11:B12"/>
    <mergeCell ref="A13:A15"/>
    <mergeCell ref="A1:K1"/>
    <mergeCell ref="A2:K2"/>
    <mergeCell ref="C3:E3"/>
    <mergeCell ref="A21:K21"/>
    <mergeCell ref="I22:K22"/>
    <mergeCell ref="A20:K20"/>
    <mergeCell ref="K8:K9"/>
    <mergeCell ref="K16:K18"/>
    <mergeCell ref="E8:E9"/>
    <mergeCell ref="A6:A7"/>
    <mergeCell ref="B6:B7"/>
    <mergeCell ref="B13:B15"/>
    <mergeCell ref="B16:B18"/>
    <mergeCell ref="A16:A18"/>
    <mergeCell ref="I16:I18"/>
    <mergeCell ref="J16:J18"/>
    <mergeCell ref="I3:K3"/>
    <mergeCell ref="I8:I9"/>
    <mergeCell ref="J8:J9"/>
    <mergeCell ref="C12:H12"/>
  </mergeCells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2010-08-27T01:23:38Z</dcterms:created>
  <dc:creator>Marcos Rieper</dc:creator>
</cp:coreProperties>
</file>